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ummary" sheetId="2" r:id="rId6"/>
    <sheet state="hidden" name="Newyse" sheetId="3" r:id="rId7"/>
    <sheet state="visible" name="CMS" sheetId="4" r:id="rId8"/>
    <sheet state="visible" name="API" sheetId="5" r:id="rId9"/>
    <sheet state="visible" name="Revenue" sheetId="6" r:id="rId10"/>
    <sheet state="visible" name="MCMS" sheetId="7" r:id="rId11"/>
    <sheet state="visible" name="Finance" sheetId="8" r:id="rId12"/>
    <sheet state="visible" name="Operations" sheetId="9" r:id="rId13"/>
    <sheet state="visible" name="Rates" sheetId="10" r:id="rId14"/>
    <sheet state="visible" name="ThirdPartyAPI(New)" sheetId="11" r:id="rId15"/>
    <sheet state="visible" name="Integeration Manager" sheetId="12" r:id="rId16"/>
    <sheet state="visible" name="Reservations" sheetId="13" r:id="rId17"/>
    <sheet state="visible" name="Channel" sheetId="14" r:id="rId18"/>
    <sheet state="visible" name="BaseData" sheetId="15" r:id="rId19"/>
    <sheet state="visible" name="Template" sheetId="16" r:id="rId20"/>
    <sheet state="visible" name="Content" sheetId="17" r:id="rId21"/>
    <sheet state="visible" name="CCM" sheetId="18" r:id="rId22"/>
  </sheets>
  <definedNames>
    <definedName name="QA">BaseData!$A$2:$A$29</definedName>
    <definedName hidden="1" localSheetId="5" name="_xlnm._FilterDatabase">Revenue!$A$6:$AA$16</definedName>
    <definedName hidden="1" localSheetId="8" name="_xlnm._FilterDatabase">Operations!$A$6:$AB$33</definedName>
    <definedName hidden="1" localSheetId="12" name="Z_FA479922_36A1_4361_91B6_66E49F554F83_.wvu.FilterData">Reservations!$A$6:$L$37</definedName>
  </definedNames>
  <calcPr/>
  <customWorkbookViews>
    <customWorkbookView activeSheetId="0" maximized="1" windowHeight="0" windowWidth="0" guid="{FA479922-36A1-4361-91B6-66E49F554F83}" name="Filter 1"/>
  </customWorkbookViews>
</workbook>
</file>

<file path=xl/sharedStrings.xml><?xml version="1.0" encoding="utf-8"?>
<sst xmlns="http://schemas.openxmlformats.org/spreadsheetml/2006/main" count="5055" uniqueCount="1043">
  <si>
    <t>Prerequisite</t>
  </si>
  <si>
    <r>
      <rPr>
        <color rgb="FF006391"/>
      </rPr>
      <t xml:space="preserve">You will need JIRA username and Token to use the tool.
JIRA Username is your maxxton email address that you use for login to JIRA. 
Token needs to be created from </t>
    </r>
    <r>
      <rPr>
        <color rgb="FF006391"/>
        <u/>
      </rPr>
      <t xml:space="preserve">https://support.atlassian.com/atlassian-account/docs/manage-api-tokens-for-your-atlassian-account/   
</t>
    </r>
    <r>
      <rPr>
        <color rgb="FF006391"/>
      </rPr>
      <t>Token creation is one time activity... Store your token as you can not retrieve it again from above link(only option will be to recreate it)</t>
    </r>
  </si>
  <si>
    <t>You will be asked to give permission from your Google Account when you run this tool for first time; and it's safe to do so ! ;)</t>
  </si>
  <si>
    <t>Schedule test case for execution</t>
  </si>
  <si>
    <t>Go to worksheet of your module.</t>
  </si>
  <si>
    <t>For the test case you want to schedule for execution, Update column H with value 'Y' indicating that you want to schedule it.
You should set execution priority in column I and Execution By (assignee) in column J</t>
  </si>
  <si>
    <t>From 'QA Project' menu, select 'Schedule Test Execution' option</t>
  </si>
  <si>
    <t xml:space="preserve">You will be asked to provide JIRA username and Token. </t>
  </si>
  <si>
    <t>You will also need to provide Release Information and Due Date for test result tickets.</t>
  </si>
  <si>
    <t>Next give confirmation for scheduling selected test cases.</t>
  </si>
  <si>
    <t>Column K and L should be populated with information about Test Result ticket and scheduling information.</t>
  </si>
  <si>
    <t>You should also receive an email with details of newly created tickets.</t>
  </si>
  <si>
    <t>Creat new test case</t>
  </si>
  <si>
    <t>Add value 'NEW' in column A of next empty row.
Provide Summary, Priority, Component and Epic Link and Estimate(use JIRA format for estimate - eg 30m, 2h).</t>
  </si>
  <si>
    <t>From 'QA Project' menu, select 'Create Test Case' option</t>
  </si>
  <si>
    <t>Next give confirmation for uploading new test cases.</t>
  </si>
  <si>
    <t>Column A should be populated with new test case key.</t>
  </si>
  <si>
    <t>Newyse</t>
  </si>
  <si>
    <t>CMS</t>
  </si>
  <si>
    <t>MXTS</t>
  </si>
  <si>
    <t>MCMS</t>
  </si>
  <si>
    <t>*v222*</t>
  </si>
  <si>
    <t>*2023_Week_27*</t>
  </si>
  <si>
    <t>*149*</t>
  </si>
  <si>
    <t>Team</t>
  </si>
  <si>
    <t>Total Test Cases</t>
  </si>
  <si>
    <t>Scheduled?</t>
  </si>
  <si>
    <t>Rates</t>
  </si>
  <si>
    <t>Finance</t>
  </si>
  <si>
    <t>Operations</t>
  </si>
  <si>
    <t>Channel</t>
  </si>
  <si>
    <t>Revenue</t>
  </si>
  <si>
    <t>Reservations</t>
  </si>
  <si>
    <t>API</t>
  </si>
  <si>
    <t>CCM</t>
  </si>
  <si>
    <t>Content</t>
  </si>
  <si>
    <t>Components</t>
  </si>
  <si>
    <t>Epic</t>
  </si>
  <si>
    <t>CMS-Castle BM</t>
  </si>
  <si>
    <t>QA-1</t>
  </si>
  <si>
    <t>Newyse Regression Test Cases</t>
  </si>
  <si>
    <t>Schedule? Y</t>
  </si>
  <si>
    <t>CMS-Castle MyEnv</t>
  </si>
  <si>
    <t>QA-24</t>
  </si>
  <si>
    <t>CMS Regression Test Cases</t>
  </si>
  <si>
    <t>New Test Cases</t>
  </si>
  <si>
    <t>CMS-Contempo BM</t>
  </si>
  <si>
    <t>QA-25</t>
  </si>
  <si>
    <t>CMS Live Test Cases</t>
  </si>
  <si>
    <t>CMS-Contempo MyEnv</t>
  </si>
  <si>
    <t>QA-26</t>
  </si>
  <si>
    <t>CMS Sanity Test Cases</t>
  </si>
  <si>
    <t>Key</t>
  </si>
  <si>
    <t>Summary</t>
  </si>
  <si>
    <t>Priority</t>
  </si>
  <si>
    <t>Component</t>
  </si>
  <si>
    <t>Epic Link</t>
  </si>
  <si>
    <t>Test Case Assignee</t>
  </si>
  <si>
    <t>Estimate</t>
  </si>
  <si>
    <t>Schedule ?</t>
  </si>
  <si>
    <t>Execution
Priority</t>
  </si>
  <si>
    <t>Execution By</t>
  </si>
  <si>
    <t>Test Result
Ticket</t>
  </si>
  <si>
    <t>Comments</t>
  </si>
  <si>
    <t>CMS-Deepcreek BM</t>
  </si>
  <si>
    <t>QA-54</t>
  </si>
  <si>
    <t>Newyse Live Test Cases</t>
  </si>
  <si>
    <t>CMS-Deepcreek MyEnv</t>
  </si>
  <si>
    <t>QA-55</t>
  </si>
  <si>
    <t>Newyse Sanity Test Cases</t>
  </si>
  <si>
    <t>CMS-Hogenboom BM</t>
  </si>
  <si>
    <t>QA-71</t>
  </si>
  <si>
    <t>MXTS Sanity Test Cases</t>
  </si>
  <si>
    <t>CMS-Hogenboom MyEnv</t>
  </si>
  <si>
    <t>QA-72</t>
  </si>
  <si>
    <t>MXTS Regression Test Cases</t>
  </si>
  <si>
    <t>CMS-Krim BM</t>
  </si>
  <si>
    <t>CMS-Krim MyEnv</t>
  </si>
  <si>
    <t>CMS-PerfectExp BM</t>
  </si>
  <si>
    <t>CMS-PerfectExp MyEnv</t>
  </si>
  <si>
    <t>CMS-Roompot BM</t>
  </si>
  <si>
    <t>CMS-Roompot MyEnv</t>
  </si>
  <si>
    <t>CMS-Siblu BM</t>
  </si>
  <si>
    <t>CMS-Siblu MyEnv</t>
  </si>
  <si>
    <t>MXTS-BackOffice Manager</t>
  </si>
  <si>
    <t>MXTS-Content Manager</t>
  </si>
  <si>
    <t>MXTS-Implementation Manager</t>
  </si>
  <si>
    <t>MXTS-Owner Manager</t>
  </si>
  <si>
    <t>MXTS-Rate Manager</t>
  </si>
  <si>
    <t>MXTS-Reservation Manager</t>
  </si>
  <si>
    <t>MXTS-PaymentService</t>
  </si>
  <si>
    <t>CMS-RCN MyEnv</t>
  </si>
  <si>
    <t>CMS-EuroparcsNL MyEnv</t>
  </si>
  <si>
    <t>QA-73</t>
  </si>
  <si>
    <t>RT_Castle Booking Module</t>
  </si>
  <si>
    <t>P3</t>
  </si>
  <si>
    <t>Prajwal Atkare</t>
  </si>
  <si>
    <t>180m</t>
  </si>
  <si>
    <t>N</t>
  </si>
  <si>
    <t>Jyoti Koli</t>
  </si>
  <si>
    <t>Created on 2025-01-03 for release CMSv262</t>
  </si>
  <si>
    <t>QA-102</t>
  </si>
  <si>
    <t>RT_Hogenboom Booking Module</t>
  </si>
  <si>
    <t>Created on 2023-12-08 for release CMSv234</t>
  </si>
  <si>
    <t>QA-103</t>
  </si>
  <si>
    <t>RT_Roompot Booking Module</t>
  </si>
  <si>
    <t>Created on 2025-01-31 for release CMSv64</t>
  </si>
  <si>
    <t>QA-79</t>
  </si>
  <si>
    <t>RT_Castle My Environment</t>
  </si>
  <si>
    <t>Sujata Pimpale</t>
  </si>
  <si>
    <t>60m</t>
  </si>
  <si>
    <t>QA-82</t>
  </si>
  <si>
    <t>RT_Hogenboom My Environment</t>
  </si>
  <si>
    <t>Created on 2023-02-03 for release CMSv212</t>
  </si>
  <si>
    <t>QA-83</t>
  </si>
  <si>
    <t>RT_Krim My Environment</t>
  </si>
  <si>
    <t>QA-84</t>
  </si>
  <si>
    <t>RT_Roompot My Environment</t>
  </si>
  <si>
    <t>QA-85</t>
  </si>
  <si>
    <t>RT_Siblu My Environment</t>
  </si>
  <si>
    <t>QA-3539</t>
  </si>
  <si>
    <t>RT_CMS Webservices - TC1</t>
  </si>
  <si>
    <t>CMS-WebServices</t>
  </si>
  <si>
    <t>Created on 2025-01-17 for release CMSv263</t>
  </si>
  <si>
    <t>QA-1565</t>
  </si>
  <si>
    <t>RT_Roompot Mobile Bookings Module</t>
  </si>
  <si>
    <t>QA-6801</t>
  </si>
  <si>
    <t>RT_RCN My Environment</t>
  </si>
  <si>
    <t>90m</t>
  </si>
  <si>
    <t>Created on 2024-11-25 for release CMSv259</t>
  </si>
  <si>
    <t>QA-6802</t>
  </si>
  <si>
    <t>RT_EuroparcsNL My Environment</t>
  </si>
  <si>
    <t>Created on 2024-12-20 for release CMSv261</t>
  </si>
  <si>
    <t>QA-86</t>
  </si>
  <si>
    <t>LT_Castle Booking Module</t>
  </si>
  <si>
    <t>P2</t>
  </si>
  <si>
    <t>20m</t>
  </si>
  <si>
    <t>Created on 2025-01-07 for release CMSv262</t>
  </si>
  <si>
    <t>QA-89</t>
  </si>
  <si>
    <t>LT_Hogenboom Booking Module</t>
  </si>
  <si>
    <t>Created on 2024-09-03 for release CMSv253</t>
  </si>
  <si>
    <t>QA-91</t>
  </si>
  <si>
    <t>LT_Roompot Booking Module</t>
  </si>
  <si>
    <t>Y</t>
  </si>
  <si>
    <t>Created on 2025-02-04 for release CMSv264</t>
  </si>
  <si>
    <t>QA-93</t>
  </si>
  <si>
    <t>LT_Castle My Environment</t>
  </si>
  <si>
    <t>QA-96</t>
  </si>
  <si>
    <t>LT_Hogenboom My Environment</t>
  </si>
  <si>
    <t>QA-97</t>
  </si>
  <si>
    <t>LT_Krim My Environment</t>
  </si>
  <si>
    <t>QA-98</t>
  </si>
  <si>
    <t>LT_Roompot My Environment</t>
  </si>
  <si>
    <t>QA-99</t>
  </si>
  <si>
    <t>LT_Siblu My Environment</t>
  </si>
  <si>
    <t>QA-1613</t>
  </si>
  <si>
    <t>LT_Roompot Mobile Bookings module</t>
  </si>
  <si>
    <t>QA-6803</t>
  </si>
  <si>
    <t>LT_EuroparcsNL My Environment</t>
  </si>
  <si>
    <t>Created on 2024-12-24 for release CMSv261</t>
  </si>
  <si>
    <t>API_Manager</t>
  </si>
  <si>
    <t>API_PropertyDetails</t>
  </si>
  <si>
    <t>API_Customer Related</t>
  </si>
  <si>
    <t>API_BatchEventDelta</t>
  </si>
  <si>
    <t>Original Estimates</t>
  </si>
  <si>
    <t>Remaining Estimates</t>
  </si>
  <si>
    <t>API_Owner Related</t>
  </si>
  <si>
    <t>QA-1429</t>
  </si>
  <si>
    <t>RT_API_Property_Details_Resort_P1</t>
  </si>
  <si>
    <t>P1</t>
  </si>
  <si>
    <t>TPI_Resorts</t>
  </si>
  <si>
    <t>QA-1223</t>
  </si>
  <si>
    <t>30m</t>
  </si>
  <si>
    <t>Anup Sinha</t>
  </si>
  <si>
    <t>Created on 2025-06-27 for release 2025_Week_27</t>
  </si>
  <si>
    <t>API_SearchAndBook</t>
  </si>
  <si>
    <t>QA-1431</t>
  </si>
  <si>
    <t>RT_API_Property_Details_Units_P1</t>
  </si>
  <si>
    <t>TPI_Units</t>
  </si>
  <si>
    <t>2h</t>
  </si>
  <si>
    <t>Dhiraj Bobade</t>
  </si>
  <si>
    <t>API_Master Data</t>
  </si>
  <si>
    <t>QA-1432</t>
  </si>
  <si>
    <t>RT_API_Property_Details_Accommodationtypes_P1</t>
  </si>
  <si>
    <t>TPI_AccommodationTpes</t>
  </si>
  <si>
    <t>QA-1433</t>
  </si>
  <si>
    <t>RT_API_Property_Details_Accommodationtypes_P2</t>
  </si>
  <si>
    <t>4h</t>
  </si>
  <si>
    <t xml:space="preserve">Created on 2025-03-12 for release </t>
  </si>
  <si>
    <t>QA-1250</t>
  </si>
  <si>
    <t>RT_API_Property_Details_Units_P2</t>
  </si>
  <si>
    <t>QA-1430</t>
  </si>
  <si>
    <t>RT_API_Property_Details_Resort_P2</t>
  </si>
  <si>
    <t>QA-1473</t>
  </si>
  <si>
    <t>RT_API_Property_Details_Offers_P1</t>
  </si>
  <si>
    <t>TPI_Offers</t>
  </si>
  <si>
    <t>QA-1475</t>
  </si>
  <si>
    <t>RT_API_Property_Details_AddOn_P1</t>
  </si>
  <si>
    <t>TPI_AddOn</t>
  </si>
  <si>
    <t>1h</t>
  </si>
  <si>
    <t>QA-1501</t>
  </si>
  <si>
    <t>RT_API_Property_Details_Amenity_P1</t>
  </si>
  <si>
    <t>TPI_Amenity</t>
  </si>
  <si>
    <t>QA-1534</t>
  </si>
  <si>
    <t>API_Customer_P1</t>
  </si>
  <si>
    <t>TPI_Customer</t>
  </si>
  <si>
    <t>Aparna Shinde</t>
  </si>
  <si>
    <t>QA-1512</t>
  </si>
  <si>
    <t>API_Batches/Delta/Events _Event_P1</t>
  </si>
  <si>
    <t>TPI_Events</t>
  </si>
  <si>
    <t>Created on 2025-03-07 for release 2025_Week_11</t>
  </si>
  <si>
    <t>QA-1513</t>
  </si>
  <si>
    <t>API_Owner_P1</t>
  </si>
  <si>
    <t>TPI_owners</t>
  </si>
  <si>
    <t>QA-1514</t>
  </si>
  <si>
    <t>API_Owner_P2</t>
  </si>
  <si>
    <t>5h</t>
  </si>
  <si>
    <t>QA-2737</t>
  </si>
  <si>
    <t>API_Accommodation_Search</t>
  </si>
  <si>
    <t>TPI_SearchAndBook</t>
  </si>
  <si>
    <t>QA-2738</t>
  </si>
  <si>
    <t>API_Accommodation_Range_Search</t>
  </si>
  <si>
    <t>QA-1508</t>
  </si>
  <si>
    <t>API_Reservations_P1_Reservation_proposal</t>
  </si>
  <si>
    <t>TPI_Reservations/TPI_ReservationProposal</t>
  </si>
  <si>
    <t>1h 30m</t>
  </si>
  <si>
    <t>QA-1531</t>
  </si>
  <si>
    <t>API_Reservations_P1_Reservations</t>
  </si>
  <si>
    <t>TPI_Reservations</t>
  </si>
  <si>
    <t>QA-1532</t>
  </si>
  <si>
    <t>API_Reservations_P1_Others</t>
  </si>
  <si>
    <t>3h</t>
  </si>
  <si>
    <t>QA-1506</t>
  </si>
  <si>
    <t>API_Master Data_P1</t>
  </si>
  <si>
    <t>TPI_MasterData</t>
  </si>
  <si>
    <t>45m</t>
  </si>
  <si>
    <t>QA-9613</t>
  </si>
  <si>
    <t>To view recent requests of an API user</t>
  </si>
  <si>
    <t>TPI_IntegrationManager</t>
  </si>
  <si>
    <t>QA-9605</t>
  </si>
  <si>
    <t>Created on 2024-05-02 for release 2024_Week_19</t>
  </si>
  <si>
    <t>15m</t>
  </si>
  <si>
    <t>QA-9606</t>
  </si>
  <si>
    <t>API user Creation</t>
  </si>
  <si>
    <t>QA-9607</t>
  </si>
  <si>
    <t>To view and add new credentials for an API user</t>
  </si>
  <si>
    <t>QA-9608</t>
  </si>
  <si>
    <t>To view and update Linked Locations for an API user</t>
  </si>
  <si>
    <t>QA-9609</t>
  </si>
  <si>
    <t>Updating Permissions for an API user</t>
  </si>
  <si>
    <t>QA-9610</t>
  </si>
  <si>
    <t>Calculating API usage costs</t>
  </si>
  <si>
    <t>QA-9611</t>
  </si>
  <si>
    <t>To view and add new admin organizations for an API user</t>
  </si>
  <si>
    <t>QA-9612</t>
  </si>
  <si>
    <t>Searching an API user and viewing API documentation</t>
  </si>
  <si>
    <t>QA-1505</t>
  </si>
  <si>
    <t>API_Representations_P1</t>
  </si>
  <si>
    <t>TPI_Representations</t>
  </si>
  <si>
    <t>Rohan Bhegade</t>
  </si>
  <si>
    <t>QA-1503</t>
  </si>
  <si>
    <t>API_UnitReservability/Reservability_P1</t>
  </si>
  <si>
    <t>TPI_Reservability</t>
  </si>
  <si>
    <t>API_Housekeepings</t>
  </si>
  <si>
    <t>TPI_Housekeeping</t>
  </si>
  <si>
    <t>API_Infotexts_P1</t>
  </si>
  <si>
    <t>TPI_Infotexts</t>
  </si>
  <si>
    <t>API_Employee_P1</t>
  </si>
  <si>
    <t>TPI_Employee</t>
  </si>
  <si>
    <t>API_Operations_P1</t>
  </si>
  <si>
    <t>TPI_Operations</t>
  </si>
  <si>
    <t>QA-15099</t>
  </si>
  <si>
    <t>API_Packages_P2</t>
  </si>
  <si>
    <t>TPI_Packages</t>
  </si>
  <si>
    <t>API_PointOfinterests_P2</t>
  </si>
  <si>
    <t>TPI_PointOfIntrestes</t>
  </si>
  <si>
    <t>API_AdminOrganisation_P2</t>
  </si>
  <si>
    <t>API_DistributionChannel_P2</t>
  </si>
  <si>
    <t>API_Allotment</t>
  </si>
  <si>
    <t>Created on 2025-05-15 for release 2025_Week_21</t>
  </si>
  <si>
    <t>API_CashClerance</t>
  </si>
  <si>
    <t>API_Contracts</t>
  </si>
  <si>
    <t>API_Facilities,Groups&amp;Icals</t>
  </si>
  <si>
    <t>API_Ledgers</t>
  </si>
  <si>
    <t>API_Rentability</t>
  </si>
  <si>
    <t>33h 45m</t>
  </si>
  <si>
    <t>RevM_Autopilot</t>
  </si>
  <si>
    <t>QA-9421</t>
  </si>
  <si>
    <t>Revenue Manager Regression Test Cases</t>
  </si>
  <si>
    <t>RevM_Budgets</t>
  </si>
  <si>
    <t>RevM_Trends_page</t>
  </si>
  <si>
    <t>ciTSS7f3VPYW8Af3i2ZO923A</t>
  </si>
  <si>
    <t>RevM_Notification</t>
  </si>
  <si>
    <t>RevM_Monitors</t>
  </si>
  <si>
    <t>QA-9457</t>
  </si>
  <si>
    <t>RT_Autopilot</t>
  </si>
  <si>
    <t>Mahesh Pawar</t>
  </si>
  <si>
    <t>Created on 2025-11-28 for release 2025_Week_49</t>
  </si>
  <si>
    <t>RevM_Insight</t>
  </si>
  <si>
    <t>QA-9458</t>
  </si>
  <si>
    <t>RT_Budget</t>
  </si>
  <si>
    <t>RevM_Collection</t>
  </si>
  <si>
    <t>QA-9459</t>
  </si>
  <si>
    <t>RT_Collection</t>
  </si>
  <si>
    <t>Created on 2026-03-06 for release 2026_Week_11</t>
  </si>
  <si>
    <t>RevM_Dashboard</t>
  </si>
  <si>
    <t>QA-9460</t>
  </si>
  <si>
    <t>RT_Yearly_insights</t>
  </si>
  <si>
    <t>RevM_Yearly_insights</t>
  </si>
  <si>
    <t>RevM_Optimized_Rates</t>
  </si>
  <si>
    <t>RT_Insights</t>
  </si>
  <si>
    <t>210m</t>
  </si>
  <si>
    <t>3h 30m</t>
  </si>
  <si>
    <t>RT_Notifications</t>
  </si>
  <si>
    <t>Narendra Deshmane</t>
  </si>
  <si>
    <t>1h 20m</t>
  </si>
  <si>
    <t>RT_Trends_page</t>
  </si>
  <si>
    <t>RT_Rate_updates</t>
  </si>
  <si>
    <t>RT_Rate_Generator</t>
  </si>
  <si>
    <t>RevM_Rate_Generator</t>
  </si>
  <si>
    <t xml:space="preserve">3h </t>
  </si>
  <si>
    <t>1h 15m</t>
  </si>
  <si>
    <t>Total hrs</t>
  </si>
  <si>
    <t>22h</t>
  </si>
  <si>
    <t>7h 41m</t>
  </si>
  <si>
    <t>QA-6877</t>
  </si>
  <si>
    <t>LT_MCMS FMC BM</t>
  </si>
  <si>
    <t>MCMS_Booking Module</t>
  </si>
  <si>
    <t>QA-2184</t>
  </si>
  <si>
    <t>Chandra Mohanty</t>
  </si>
  <si>
    <t>Created on 2026-04-01 for release Sprint_221</t>
  </si>
  <si>
    <t>QA-6879</t>
  </si>
  <si>
    <t>LT_MCMS KRM BM</t>
  </si>
  <si>
    <t>QA-6880</t>
  </si>
  <si>
    <t>LT_MCMS WEE BM</t>
  </si>
  <si>
    <t>QA-6881</t>
  </si>
  <si>
    <t>LT_MCMS CSH BM</t>
  </si>
  <si>
    <t>Amruta Jadhav</t>
  </si>
  <si>
    <t>QA-6882</t>
  </si>
  <si>
    <t>LT_MCMS SA BM</t>
  </si>
  <si>
    <t>QA-6883</t>
  </si>
  <si>
    <t>LT_MCMS ONS BM</t>
  </si>
  <si>
    <t>QA-8382</t>
  </si>
  <si>
    <t>LT_MCMS LSH BM</t>
  </si>
  <si>
    <t>LT_MCMS COF BM</t>
  </si>
  <si>
    <t>QA-6886</t>
  </si>
  <si>
    <t>LT_MCMS NRT BM</t>
  </si>
  <si>
    <t>LT_MCMS SAN BM</t>
  </si>
  <si>
    <t>QA-6878</t>
  </si>
  <si>
    <t>LT_MCMS RVP QURIOS BM</t>
  </si>
  <si>
    <t>QA-6884</t>
  </si>
  <si>
    <t>LT_MCMS VDT BM</t>
  </si>
  <si>
    <t>QA-6885</t>
  </si>
  <si>
    <t>LT_MCMS ALP BM</t>
  </si>
  <si>
    <t>QA-6983</t>
  </si>
  <si>
    <t>RT_WM_Categories</t>
  </si>
  <si>
    <t>MCMS_WM_Categories</t>
  </si>
  <si>
    <t>QA-6984</t>
  </si>
  <si>
    <t>RT_WM_CRP</t>
  </si>
  <si>
    <t>MCMS_WM_CustomResultPanels</t>
  </si>
  <si>
    <t>QA-6985</t>
  </si>
  <si>
    <t>RT_WM_Datalayers</t>
  </si>
  <si>
    <t>MCMS_WM_Datalayers</t>
  </si>
  <si>
    <t>QA-6986</t>
  </si>
  <si>
    <t>RT_WM_Dynamic Sitemaps</t>
  </si>
  <si>
    <t>MCMS_WM_DynamicSitemaps</t>
  </si>
  <si>
    <t>QA-6987</t>
  </si>
  <si>
    <t>RT_WM_Flows</t>
  </si>
  <si>
    <t>MCMS_WM_Flows</t>
  </si>
  <si>
    <t>QA-6988</t>
  </si>
  <si>
    <t>RT_WM_Forms</t>
  </si>
  <si>
    <t>MCMS_WM_Forms</t>
  </si>
  <si>
    <t>QA-6989</t>
  </si>
  <si>
    <t>RT_WM_Free Search</t>
  </si>
  <si>
    <t>MCMS_WM_FreeSearch</t>
  </si>
  <si>
    <t>QA-6990</t>
  </si>
  <si>
    <t>RT_WM_Locale</t>
  </si>
  <si>
    <t>MCMS_WM_Languages</t>
  </si>
  <si>
    <t>QA-6991</t>
  </si>
  <si>
    <t>RT_WM_Translations</t>
  </si>
  <si>
    <t>QA-6992</t>
  </si>
  <si>
    <t>RT_WM_Menus</t>
  </si>
  <si>
    <t>MCMS_WM_Menus</t>
  </si>
  <si>
    <t>QA-6993</t>
  </si>
  <si>
    <t>RT_WM_CMS Settings</t>
  </si>
  <si>
    <t>MCMS_WM_OverallSettings</t>
  </si>
  <si>
    <t>QA-6994</t>
  </si>
  <si>
    <t>RT_WM_Pages</t>
  </si>
  <si>
    <t>MCMS_WM_Pages</t>
  </si>
  <si>
    <t>QA-6995</t>
  </si>
  <si>
    <t>RT_WM_Posts</t>
  </si>
  <si>
    <t>MCMS_WM_Posts</t>
  </si>
  <si>
    <t>QA-6996</t>
  </si>
  <si>
    <t>RT_WM_Sites</t>
  </si>
  <si>
    <t>MCMS_WM_Sites</t>
  </si>
  <si>
    <t>QA-6997</t>
  </si>
  <si>
    <t>RT_WM_Templates</t>
  </si>
  <si>
    <t>MCMS_WM_Templates</t>
  </si>
  <si>
    <t>QA-6998</t>
  </si>
  <si>
    <t>RT_WM_Web Contents</t>
  </si>
  <si>
    <t>MCMS_WM_WebContents</t>
  </si>
  <si>
    <t>QA-6999</t>
  </si>
  <si>
    <t>RT_WM_Price Widget</t>
  </si>
  <si>
    <t>MCMS_WM_Widgets</t>
  </si>
  <si>
    <t>QA-7000</t>
  </si>
  <si>
    <t>RT_WM_Containers Widget</t>
  </si>
  <si>
    <t>QA-7001</t>
  </si>
  <si>
    <t>RT_WM_Button Widget</t>
  </si>
  <si>
    <t>QA-7002</t>
  </si>
  <si>
    <t>RT_WM_Map Widget</t>
  </si>
  <si>
    <t>QA-7003</t>
  </si>
  <si>
    <t>RT_WM_Gallery Widget</t>
  </si>
  <si>
    <t>QA-7004</t>
  </si>
  <si>
    <t>RT_WM_Dynamic Container Widget</t>
  </si>
  <si>
    <t>QA-7005</t>
  </si>
  <si>
    <t>RT_WM_Search Widget</t>
  </si>
  <si>
    <t>RT_MCMS VCS MYENV</t>
  </si>
  <si>
    <t>MCMS_Guest Portal</t>
  </si>
  <si>
    <t>RT_WM_Activity Planner</t>
  </si>
  <si>
    <t>RT_WM_Breadcrumb</t>
  </si>
  <si>
    <t>RT_WM_Availability Date</t>
  </si>
  <si>
    <t>RT_MCMS FMC BM1</t>
  </si>
  <si>
    <t>Created on 2026-03-27 for release Sprint_221</t>
  </si>
  <si>
    <t>RT_MCMS KRM BM</t>
  </si>
  <si>
    <t>RT_MCMS WEE BM</t>
  </si>
  <si>
    <t>RT_MCMS CSH BM</t>
  </si>
  <si>
    <t>RT_MCMS COF BM</t>
  </si>
  <si>
    <t>RT_MCMS ONS BM</t>
  </si>
  <si>
    <t>RT_MCMS LSH BM</t>
  </si>
  <si>
    <t>RT_MCMS NRT BM</t>
  </si>
  <si>
    <t>RT_MCMS FMC MY ENV</t>
  </si>
  <si>
    <t xml:space="preserve">1h </t>
  </si>
  <si>
    <t>RT_MCMS KRM MY ENV</t>
  </si>
  <si>
    <t>RT_MCMS WEE MY ENV</t>
  </si>
  <si>
    <t>RT_MCMS AHS BM</t>
  </si>
  <si>
    <t>RT_MCMS RCN MY ENV</t>
  </si>
  <si>
    <t>RT_MCMS LIB MY ENV</t>
  </si>
  <si>
    <t>RT_MCMS SAN BM</t>
  </si>
  <si>
    <t>RT_MCMS EST MY ENV</t>
  </si>
  <si>
    <t>RT_MCMS FoV MY ENV</t>
  </si>
  <si>
    <t>RT_MCMS EST BM</t>
  </si>
  <si>
    <t>RT_MCMS RVP Owner Portal</t>
  </si>
  <si>
    <t>RT_MCMS Embed BM</t>
  </si>
  <si>
    <t>RT_MCMS NRT MY ENV</t>
  </si>
  <si>
    <t>RT_MCMS CSH MY ENV</t>
  </si>
  <si>
    <t>RT_MCMS MOL MY ENV</t>
  </si>
  <si>
    <t>RT_MCMS AHS MY ENV</t>
  </si>
  <si>
    <t>RT_MCMS EUP MY ENV</t>
  </si>
  <si>
    <t>RT_MCMS EUP BM</t>
  </si>
  <si>
    <t>RT_MCMS LSH MY ENV</t>
  </si>
  <si>
    <t>RT_MCMS ONS MY ENV</t>
  </si>
  <si>
    <t>RT_BHP BM</t>
  </si>
  <si>
    <t xml:space="preserve">LT_MCMS FOV MY ENV </t>
  </si>
  <si>
    <t xml:space="preserve">LT_MCMS FMC MY ENV </t>
  </si>
  <si>
    <t xml:space="preserve">LT_MCMS RCN MY ENV </t>
  </si>
  <si>
    <t>LT_MCMS RVP OWNER PORTAL</t>
  </si>
  <si>
    <t>LT_MCMS EST BM</t>
  </si>
  <si>
    <t>LT_MCMS WEE MY ENV</t>
  </si>
  <si>
    <t>LT_MCMS LIB MY ENV</t>
  </si>
  <si>
    <t>LT_MCMS KRM MY ENV</t>
  </si>
  <si>
    <t>LT_MCMS NRT MY ENV</t>
  </si>
  <si>
    <t>LT_MCMS EST MY ENV</t>
  </si>
  <si>
    <t>QA-2185</t>
  </si>
  <si>
    <t>LT_MCMS CSH MY ENV</t>
  </si>
  <si>
    <t>LT_MCMS MOL MY ENV</t>
  </si>
  <si>
    <t>LT_MCMS AHS MY ENV</t>
  </si>
  <si>
    <t>LT_MCMS EUP MY ENV</t>
  </si>
  <si>
    <t>LT_MCMS EUP BM</t>
  </si>
  <si>
    <t>LT_MCMS LSH MY ENV</t>
  </si>
  <si>
    <t>LT_MCMS ONS MY ENV</t>
  </si>
  <si>
    <t>QA-3465</t>
  </si>
  <si>
    <t>RT_Owner Manager Owner</t>
  </si>
  <si>
    <t>OwnerMngr_Owner</t>
  </si>
  <si>
    <t>QA-1795</t>
  </si>
  <si>
    <t>Ritesh Kumar</t>
  </si>
  <si>
    <t>Created on 2026-03-23 for release 2026_Week_13</t>
  </si>
  <si>
    <t>QA-3466</t>
  </si>
  <si>
    <t>RT_Owner Manager PreSettlement</t>
  </si>
  <si>
    <t>OwnerMngr_PreSettlement</t>
  </si>
  <si>
    <t>2h 30m</t>
  </si>
  <si>
    <t>QA-3467</t>
  </si>
  <si>
    <t>RT_Owner Manager Settlement</t>
  </si>
  <si>
    <t>OwnerMngr_Settlement</t>
  </si>
  <si>
    <t>4h 30m</t>
  </si>
  <si>
    <t>QA-3468</t>
  </si>
  <si>
    <t>RT_Owner Manager PostSettlement</t>
  </si>
  <si>
    <t>OwnerMngr_PostSettlement</t>
  </si>
  <si>
    <t>QA-4208</t>
  </si>
  <si>
    <t>RT_FnMngr_FM_Configuration</t>
  </si>
  <si>
    <t>FnMngr_Ledgers</t>
  </si>
  <si>
    <t>QA-4207</t>
  </si>
  <si>
    <t>Ashwini Kedare</t>
  </si>
  <si>
    <t>Nikhil Gurav</t>
  </si>
  <si>
    <t>QA-4209</t>
  </si>
  <si>
    <t>RT_FnMngr_Payments_Statements/ Unassigned_Payments</t>
  </si>
  <si>
    <t>FnMngr_Revenue_Distri_Rules</t>
  </si>
  <si>
    <t>QA-4210</t>
  </si>
  <si>
    <t>RT_FnMngr_Revenue_Distribution_Process RD/ RD Scheduler/ RD Rules</t>
  </si>
  <si>
    <t>FnMngr_Revenue_Distri_Processing</t>
  </si>
  <si>
    <t>QA-4211</t>
  </si>
  <si>
    <t>RT_FnMngr_Financial_Reports_JR/FTR &amp; Financial_Archive</t>
  </si>
  <si>
    <t>FnMngr_Trans_Archiver</t>
  </si>
  <si>
    <t>QA-23620</t>
  </si>
  <si>
    <t>RT_FnMngr_Agent_Settlement</t>
  </si>
  <si>
    <t>0h</t>
  </si>
  <si>
    <t>RT_NF525_Sii Invoices</t>
  </si>
  <si>
    <t>RT_NF525_Sii_Jeng</t>
  </si>
  <si>
    <t xml:space="preserve"> </t>
  </si>
  <si>
    <t>Remark</t>
  </si>
  <si>
    <t>QA-3939</t>
  </si>
  <si>
    <t>RT_Planning Creation</t>
  </si>
  <si>
    <t>OpnMngr_HK_Dashboard</t>
  </si>
  <si>
    <t>QA-3936</t>
  </si>
  <si>
    <t>120m</t>
  </si>
  <si>
    <t>Created on 2026-04-03 for release 2026_Week_15</t>
  </si>
  <si>
    <t>40m</t>
  </si>
  <si>
    <t>QA-3940</t>
  </si>
  <si>
    <t>RT_HK Dashboard Summary page</t>
  </si>
  <si>
    <t>10m</t>
  </si>
  <si>
    <t>QA-3941</t>
  </si>
  <si>
    <t>RT_Employee Detail Page</t>
  </si>
  <si>
    <t>QA-3942</t>
  </si>
  <si>
    <t>RT_Planning Dashboard Page</t>
  </si>
  <si>
    <t>OpnMngr_HK_PlanningDashboard</t>
  </si>
  <si>
    <t>QA-3943</t>
  </si>
  <si>
    <t>RT_Assign Employee Page</t>
  </si>
  <si>
    <t>QA-3944</t>
  </si>
  <si>
    <t>RT_Task Configuation</t>
  </si>
  <si>
    <t>OpnMngr_HK_Config</t>
  </si>
  <si>
    <t>QA-3945</t>
  </si>
  <si>
    <t>RT_Sector Configuration</t>
  </si>
  <si>
    <t>Created on 2025-02-20 for release 2025_Week_09</t>
  </si>
  <si>
    <t>Merged in QA-3944</t>
  </si>
  <si>
    <t>QA-3946</t>
  </si>
  <si>
    <t>RT_Maint Dashboard Summary Page</t>
  </si>
  <si>
    <t>OpnMngr_Maint_Dashboard</t>
  </si>
  <si>
    <t>QA-3937</t>
  </si>
  <si>
    <t>Merged in QA-3947</t>
  </si>
  <si>
    <t>QA-3947</t>
  </si>
  <si>
    <t>RT_Work Order Daily Operation</t>
  </si>
  <si>
    <t>QA-3948</t>
  </si>
  <si>
    <t>RT_Work Order Creat/edit</t>
  </si>
  <si>
    <t>OpnMngr_Maint_WorkOrderList</t>
  </si>
  <si>
    <t>QA-3949</t>
  </si>
  <si>
    <t>RT_Work Order Invoicing</t>
  </si>
  <si>
    <t>Merged in QA-3948</t>
  </si>
  <si>
    <t>QA-3950</t>
  </si>
  <si>
    <t>RT_WO Categories Configuration</t>
  </si>
  <si>
    <t>OpnMngr_Maint_Config</t>
  </si>
  <si>
    <t>5m</t>
  </si>
  <si>
    <t>QA-3951</t>
  </si>
  <si>
    <t>RT_App HK Dashboard</t>
  </si>
  <si>
    <t>OpnMngr_App_HK</t>
  </si>
  <si>
    <t>QA-3938</t>
  </si>
  <si>
    <t>Merged in QA-3952</t>
  </si>
  <si>
    <t>QA-3952</t>
  </si>
  <si>
    <t>RT_App Task Detail Screen</t>
  </si>
  <si>
    <t>QA-3953</t>
  </si>
  <si>
    <t>RT_App Maint Dashboard</t>
  </si>
  <si>
    <t>OpnMngr_App_Maint</t>
  </si>
  <si>
    <t>Merged in QA-3954</t>
  </si>
  <si>
    <t>QA-3954</t>
  </si>
  <si>
    <t>RT_App Work Order Detail Screen</t>
  </si>
  <si>
    <t>QA-7395</t>
  </si>
  <si>
    <t>RT_Periodical Tasks</t>
  </si>
  <si>
    <t>OpnMngr_Perio_task</t>
  </si>
  <si>
    <t>QA-7615</t>
  </si>
  <si>
    <t>RT_Inspection</t>
  </si>
  <si>
    <t>OpnMngr_Maint_Inspection</t>
  </si>
  <si>
    <t>QA-10282</t>
  </si>
  <si>
    <t>RT_WO Item Configuration</t>
  </si>
  <si>
    <t>Merged in QA-3950</t>
  </si>
  <si>
    <t>QA-10283</t>
  </si>
  <si>
    <t>RT_WO Area Configuration</t>
  </si>
  <si>
    <t>QA-10284</t>
  </si>
  <si>
    <t>RT_WO Materials Configuration</t>
  </si>
  <si>
    <t>QA-10285</t>
  </si>
  <si>
    <t>RT_Periodical Task Configuration</t>
  </si>
  <si>
    <t>QA-16460</t>
  </si>
  <si>
    <t>RT_App Periodical Task</t>
  </si>
  <si>
    <t>QA-16461</t>
  </si>
  <si>
    <t>RT_App Meter Reading</t>
  </si>
  <si>
    <t>Merged in QA-16460</t>
  </si>
  <si>
    <t>QA-16462</t>
  </si>
  <si>
    <t>RT_App Barrier Control and Inspection</t>
  </si>
  <si>
    <t>Created on 2025-11-27 for release 2025_Week_49</t>
  </si>
  <si>
    <t>QA-19284</t>
  </si>
  <si>
    <t>RT_WO Material Supplier Configuration</t>
  </si>
  <si>
    <t>Merged in QA-10284</t>
  </si>
  <si>
    <t>RT_Work schedule module</t>
  </si>
  <si>
    <t>API token</t>
  </si>
  <si>
    <t>2025_Week_17</t>
  </si>
  <si>
    <t>QA-3046</t>
  </si>
  <si>
    <t>RT_Rate Screen</t>
  </si>
  <si>
    <t>RtMngr_Rates</t>
  </si>
  <si>
    <t>QA-1782</t>
  </si>
  <si>
    <t>Created on 2025-05-16 for release 2025_Week_21</t>
  </si>
  <si>
    <t>QA-3056</t>
  </si>
  <si>
    <t>RT_Accomodation Type</t>
  </si>
  <si>
    <t>RtMngr_AccomodationType</t>
  </si>
  <si>
    <t>Created on 2026-03-22 for release 2026_Week_13</t>
  </si>
  <si>
    <t>QA-3047</t>
  </si>
  <si>
    <t xml:space="preserve">RT_Rate Types </t>
  </si>
  <si>
    <t>RtMngr_RateTypes</t>
  </si>
  <si>
    <t>RT_Package</t>
  </si>
  <si>
    <t>RtMngr_Offer</t>
  </si>
  <si>
    <t>Created on 2026-01-12 for release 2026_Week_03</t>
  </si>
  <si>
    <t>RT_Offer/Package Import</t>
  </si>
  <si>
    <t>QA-17104</t>
  </si>
  <si>
    <t>RT_Offer</t>
  </si>
  <si>
    <t>QA-3058</t>
  </si>
  <si>
    <t>RT_Rentability Set</t>
  </si>
  <si>
    <t>RtMngr_RentabilitySet</t>
  </si>
  <si>
    <t>QA-3060</t>
  </si>
  <si>
    <t>RT_Batch Updates</t>
  </si>
  <si>
    <t>RtMngr_Import&amp;BatchUpdates</t>
  </si>
  <si>
    <t>QA-3059</t>
  </si>
  <si>
    <t>RT_Rates Imports</t>
  </si>
  <si>
    <t>QA-19070</t>
  </si>
  <si>
    <t>RT_Vouchers</t>
  </si>
  <si>
    <t>RtMngr_Voucher</t>
  </si>
  <si>
    <t xml:space="preserve">Total Hrs </t>
  </si>
  <si>
    <t>18h</t>
  </si>
  <si>
    <t>7h</t>
  </si>
  <si>
    <t>API_Housekeepings_P1</t>
  </si>
  <si>
    <t>Created on 2025-05-29 for release 2025_Week_23</t>
  </si>
  <si>
    <t>API_Representations_P2</t>
  </si>
  <si>
    <t>API_UnitReservability/Reservability_P2</t>
  </si>
  <si>
    <t>API_Employee_P2</t>
  </si>
  <si>
    <t>API_Allotment_P2</t>
  </si>
  <si>
    <t>API_CashClerance_P2</t>
  </si>
  <si>
    <t>API_Contracts_P2</t>
  </si>
  <si>
    <t>API_Facilities,Groups&amp;Icals_P2</t>
  </si>
  <si>
    <t>API_Ledgers_P2</t>
  </si>
  <si>
    <t>API_Rentability_P2</t>
  </si>
  <si>
    <t>QA-24513</t>
  </si>
  <si>
    <t>API_P1_OtherEndpoints</t>
  </si>
  <si>
    <t>QA-6230</t>
  </si>
  <si>
    <t>RT_ChnlMngr_Reseller_Config</t>
  </si>
  <si>
    <t>Connection_Reseller</t>
  </si>
  <si>
    <t>QA-12945</t>
  </si>
  <si>
    <t>Pragati Mohadure</t>
  </si>
  <si>
    <t>Created on 2026-03-20 for release 2026_Week_13</t>
  </si>
  <si>
    <t>QA-6231</t>
  </si>
  <si>
    <t>RT_ChnlMngr_Reseller_Dashboard</t>
  </si>
  <si>
    <t>QA-6232</t>
  </si>
  <si>
    <t>RT_ChnlMngr_Supplier_Config</t>
  </si>
  <si>
    <t>Connection_Supplier</t>
  </si>
  <si>
    <t>QA-6233</t>
  </si>
  <si>
    <t>RT_ChnlMngr_Supplier_Dashboard</t>
  </si>
  <si>
    <t>8h</t>
  </si>
  <si>
    <t>QA-10453</t>
  </si>
  <si>
    <t>RT_ChnlMngr_CMS_Reseller_Flow</t>
  </si>
  <si>
    <t>NM_LandingPage</t>
  </si>
  <si>
    <t>QA-10184</t>
  </si>
  <si>
    <t>Notification Manager Regression Test Cases</t>
  </si>
  <si>
    <t>NM_Task</t>
  </si>
  <si>
    <t>NM_Templates</t>
  </si>
  <si>
    <t>Manual Estimate 
Work(this needs 
to fill in ticket)</t>
  </si>
  <si>
    <t>WorkDoneBY</t>
  </si>
  <si>
    <t>QA-7517</t>
  </si>
  <si>
    <t>RT-Cash Clearance</t>
  </si>
  <si>
    <t>FOM_Cash Clearance</t>
  </si>
  <si>
    <t>QA-1796</t>
  </si>
  <si>
    <t>Shubhangi Dhumal</t>
  </si>
  <si>
    <t>Parag Suryawanshi</t>
  </si>
  <si>
    <t>QA-7518</t>
  </si>
  <si>
    <t>RT_Cash Register Config and Purchase</t>
  </si>
  <si>
    <t>FOM_Cash Register</t>
  </si>
  <si>
    <t>QA-7519</t>
  </si>
  <si>
    <t>RT_Cash Register Report</t>
  </si>
  <si>
    <t>QA-7520</t>
  </si>
  <si>
    <t>RT_CICO UI Tests</t>
  </si>
  <si>
    <t>FOM_CICO</t>
  </si>
  <si>
    <t xml:space="preserve">4h </t>
  </si>
  <si>
    <t>QA-7521</t>
  </si>
  <si>
    <t>RT_CICO Update Reservations</t>
  </si>
  <si>
    <t>Maxxton-Pooja</t>
  </si>
  <si>
    <t>QA-7522</t>
  </si>
  <si>
    <t>RT_CICO Payment</t>
  </si>
  <si>
    <t>QA-7523</t>
  </si>
  <si>
    <t>RT_CICO Print</t>
  </si>
  <si>
    <t>QA-7524</t>
  </si>
  <si>
    <t>RT_FOM Dashboard</t>
  </si>
  <si>
    <t>FOM_Dashboard</t>
  </si>
  <si>
    <t>QA-7525</t>
  </si>
  <si>
    <t>RT_FOM Facilities</t>
  </si>
  <si>
    <t>FOM_Facilities</t>
  </si>
  <si>
    <t>QA-7526</t>
  </si>
  <si>
    <t>RT_FOM Other</t>
  </si>
  <si>
    <t>FOM_Other</t>
  </si>
  <si>
    <t>QA-7527</t>
  </si>
  <si>
    <t>RT_FOM Planning Chart UI and Settings</t>
  </si>
  <si>
    <t>FOM_Planning Chart</t>
  </si>
  <si>
    <t>QA-7528</t>
  </si>
  <si>
    <t>RT_FOM Planning Chart Actions</t>
  </si>
  <si>
    <t>QA-7529</t>
  </si>
  <si>
    <t>RT_FOM WorkOrders</t>
  </si>
  <si>
    <t>FOM_WorkOrders</t>
  </si>
  <si>
    <t>QA-9214</t>
  </si>
  <si>
    <t>RT_FOM Barrier Dashboard</t>
  </si>
  <si>
    <t>FOM_Barrier Dashboard</t>
  </si>
  <si>
    <t>QA-9215</t>
  </si>
  <si>
    <t>RT_FOM Activity Planner</t>
  </si>
  <si>
    <t>FOM_Activity Planner</t>
  </si>
  <si>
    <t>Maxxton-Parag</t>
  </si>
  <si>
    <t>QA-207</t>
  </si>
  <si>
    <t>RT_Reservation Manager</t>
  </si>
  <si>
    <t>QA-1797</t>
  </si>
  <si>
    <t>Pooja Tudha</t>
  </si>
  <si>
    <t>Manual Effort</t>
  </si>
  <si>
    <t>RT_ Linear Reservation</t>
  </si>
  <si>
    <t>Tuhina Gupta</t>
  </si>
  <si>
    <t>RT_Room Planner</t>
  </si>
  <si>
    <t>Frugal-Done</t>
  </si>
  <si>
    <t>Started monitoring automation test cases</t>
  </si>
  <si>
    <t>RT_Infotext</t>
  </si>
  <si>
    <t>Maxxton-Tuhina</t>
  </si>
  <si>
    <t>Automation test cases needs refactoring</t>
  </si>
  <si>
    <t>RT_Customer</t>
  </si>
  <si>
    <t>Chetan Harkut</t>
  </si>
  <si>
    <t>Maxxton-Vicky</t>
  </si>
  <si>
    <t xml:space="preserve">RT_Reallocation </t>
  </si>
  <si>
    <t>MXTS-Resrvation manager</t>
  </si>
  <si>
    <t>RT_Cancellations</t>
  </si>
  <si>
    <t>After Refactoring automation will start</t>
  </si>
  <si>
    <t>RT_Search reservation</t>
  </si>
  <si>
    <t>5h 30m</t>
  </si>
  <si>
    <t>Frugal-InProgress,will move in next Sprint</t>
  </si>
  <si>
    <t>RT_More Options</t>
  </si>
  <si>
    <t>4h 20m</t>
  </si>
  <si>
    <t>Maxxton-Vicky40%</t>
  </si>
  <si>
    <t>RT_Reservation Manager- 2</t>
  </si>
  <si>
    <t>Sprint-6</t>
  </si>
  <si>
    <t>RT_Reservation Manager- Accommodation type</t>
  </si>
  <si>
    <t>RT_Reservation Manager- Dashboard</t>
  </si>
  <si>
    <t>Maxxton - Pooja</t>
  </si>
  <si>
    <t>RT_Reservation Manager- Overview</t>
  </si>
  <si>
    <t>Maxxton - Pooja 60%</t>
  </si>
  <si>
    <t>RT_Reservation Manager- Finance</t>
  </si>
  <si>
    <t>Frugal - 60% Complete</t>
  </si>
  <si>
    <t>RT_Reservation Manager- Customer Details</t>
  </si>
  <si>
    <t>RT_Reservation Manager- Loyalty</t>
  </si>
  <si>
    <t>Frugal- Done</t>
  </si>
  <si>
    <t>RT_FOM- Planning Chart- Move reservation to any unit.</t>
  </si>
  <si>
    <t>RT_Reservation Manager- CE-Portal</t>
  </si>
  <si>
    <t>RT_Reservation Manager- Price Engine</t>
  </si>
  <si>
    <t>9h</t>
  </si>
  <si>
    <t>gap functionality</t>
  </si>
  <si>
    <t>Frugal - Done</t>
  </si>
  <si>
    <t>Token</t>
  </si>
  <si>
    <t>ATATT3xFfGF0N5MSvFDqXqFVMh2Uu502jAH5WMhV_ejuLvF</t>
  </si>
  <si>
    <t>2026_Week_13</t>
  </si>
  <si>
    <t>QA-6224</t>
  </si>
  <si>
    <t>RT_ChnlMngr_Cancellation_General</t>
  </si>
  <si>
    <t>ChnlMngr_Cancellation</t>
  </si>
  <si>
    <t>QA-6223</t>
  </si>
  <si>
    <t>Kumar Saurabh</t>
  </si>
  <si>
    <t>Chetan Gujar</t>
  </si>
  <si>
    <t>100m</t>
  </si>
  <si>
    <t>QA-6225</t>
  </si>
  <si>
    <t>RT_ChnlMngr_Cancellation_Rates</t>
  </si>
  <si>
    <t>QA-6226</t>
  </si>
  <si>
    <t>RT_ChnlMngr_Commission_General</t>
  </si>
  <si>
    <t>ChnlMngr_Commission</t>
  </si>
  <si>
    <t>QA-6227</t>
  </si>
  <si>
    <t>RT_ChnlMngr_Commission_Rates</t>
  </si>
  <si>
    <t>80m</t>
  </si>
  <si>
    <t>QA-6228</t>
  </si>
  <si>
    <t>RT_ChnlMngr_DC</t>
  </si>
  <si>
    <t>ChnlMngr_DC</t>
  </si>
  <si>
    <t>QA-6229</t>
  </si>
  <si>
    <t>RT_ChnlMngr_RC</t>
  </si>
  <si>
    <t>ChnlMngr_RC</t>
  </si>
  <si>
    <t>150m</t>
  </si>
  <si>
    <t>RT_ChnlMngr_Required_Field_Sets</t>
  </si>
  <si>
    <t>ChnlMngr_Required_Field_Sets</t>
  </si>
  <si>
    <t>QA-19285</t>
  </si>
  <si>
    <t>RT_ChnlMngr_DC  Allotment</t>
  </si>
  <si>
    <t>QA-20397</t>
  </si>
  <si>
    <t>RT_ChnlMngr_Linear_Type_Allotment</t>
  </si>
  <si>
    <t>ChnlMngr_Linear</t>
  </si>
  <si>
    <t>RT_ChnlMngr_Linear_Unit_Allotment</t>
  </si>
  <si>
    <t>QA-21823</t>
  </si>
  <si>
    <t>RT_ChnlMngr_Create DC</t>
  </si>
  <si>
    <t>QA-23401</t>
  </si>
  <si>
    <t>Create Billing Rule For Payer type Agent</t>
  </si>
  <si>
    <t>QA-23402</t>
  </si>
  <si>
    <t>Create Billing Rule For Payer type Paying Customer</t>
  </si>
  <si>
    <t>QA-23403</t>
  </si>
  <si>
    <t>Create Billing Rule For Payer type Customer</t>
  </si>
  <si>
    <t>QA-25195</t>
  </si>
  <si>
    <t>RC- Free Resources</t>
  </si>
  <si>
    <t>980m</t>
  </si>
  <si>
    <t>240m</t>
  </si>
  <si>
    <t>QA-26180</t>
  </si>
  <si>
    <t>Export :Cancellation and Commission</t>
  </si>
  <si>
    <t>QA-28529</t>
  </si>
  <si>
    <t>RT_ChnlMngr_DC Payment Term Sets</t>
  </si>
  <si>
    <t>Name</t>
  </si>
  <si>
    <t>ID</t>
  </si>
  <si>
    <t>625a78d65d1e700069b05360</t>
  </si>
  <si>
    <t>Anavika Mandhare</t>
  </si>
  <si>
    <t>63fde7e515d668edd8ed36f8</t>
  </si>
  <si>
    <t>Anjali Bidkar</t>
  </si>
  <si>
    <t>625a799f3bf0f0007018a261</t>
  </si>
  <si>
    <t>Ankit Vyawahare</t>
  </si>
  <si>
    <t>615ff019048360006a721dd8</t>
  </si>
  <si>
    <t>712020:2a1fc492-5f7e-4ba4-9562-ff8f4baf1637</t>
  </si>
  <si>
    <t>625a7a9213c2c8006a37f313</t>
  </si>
  <si>
    <t>712020:0cf88886-8385-45bb-b53b-ef36df94cc63</t>
  </si>
  <si>
    <t>625a7991ed2b3e0074fe9df3</t>
  </si>
  <si>
    <t>625a7b26a87271006922df8a</t>
  </si>
  <si>
    <t>625a79b0ed2b3e0074fe9e07</t>
  </si>
  <si>
    <t>Ekata Chavan</t>
  </si>
  <si>
    <t>625a7c730630bd007077cc50</t>
  </si>
  <si>
    <t>625a7cf36b0007006971a68b</t>
  </si>
  <si>
    <t>Komal Kalbhor</t>
  </si>
  <si>
    <t>63fde7e615d668edd8ed36f9</t>
  </si>
  <si>
    <t>Leela Chekuru</t>
  </si>
  <si>
    <t>637359f62acfad92d7af5602</t>
  </si>
  <si>
    <t>625a7ce05d1e700069b054e0</t>
  </si>
  <si>
    <t>Mayur Uniyal</t>
  </si>
  <si>
    <t>557058:55b3846a-e075-4d92-b1c8-79f5ab4efc10</t>
  </si>
  <si>
    <t>Mithali Shrivastava</t>
  </si>
  <si>
    <t>637359fcde5cdaba3a65d784</t>
  </si>
  <si>
    <t>625a7be8ed2b3e0074fe9ed3</t>
  </si>
  <si>
    <t>625a7a4ed2839e006bb272cd</t>
  </si>
  <si>
    <t>Nimesh Sugandh</t>
  </si>
  <si>
    <t>5b6d887928214a29fb01d3a6</t>
  </si>
  <si>
    <t>Pallapu Prathap</t>
  </si>
  <si>
    <t>6360b9b6e14026a73980e4a9</t>
  </si>
  <si>
    <t>625a7be35d1e700069b05470</t>
  </si>
  <si>
    <t>625a7aec13c2c8006a37f345</t>
  </si>
  <si>
    <t>625a7c4d4f1d57006a26d741</t>
  </si>
  <si>
    <t>625a7bf113c2c8006a37f389</t>
  </si>
  <si>
    <t>625a7ab04f1d57006a26d692</t>
  </si>
  <si>
    <t>Rashna Engineer</t>
  </si>
  <si>
    <t>625a7891d2839e006bb271ff</t>
  </si>
  <si>
    <t>Ravina Matkar</t>
  </si>
  <si>
    <t>63b2625dfa5fbde2ba45657e</t>
  </si>
  <si>
    <t>625a78afc23e5b006ab59396</t>
  </si>
  <si>
    <t>625a7b8c4f1d57006a26d6f9</t>
  </si>
  <si>
    <t>Shifa Khan</t>
  </si>
  <si>
    <t>625a79fc410206006e98b2f7</t>
  </si>
  <si>
    <t>Shubham Pasalkar</t>
  </si>
  <si>
    <t>625a7b759e7380006fb4e54b</t>
  </si>
  <si>
    <t>712020:7eec3817-76b6-4e52-9a0f-932ee21956b6</t>
  </si>
  <si>
    <t>Sumayya Anis Mulla</t>
  </si>
  <si>
    <t>712020:050b3c32-b924-49b7-aeeb-5a0cd7fe6877</t>
  </si>
  <si>
    <t>625a7b333bf0f0007018a2fd</t>
  </si>
  <si>
    <t>Swapnali Swami</t>
  </si>
  <si>
    <t>637356ac9e48f2b9a610501d</t>
  </si>
  <si>
    <t>625a781e3bf0f0007018a1c6</t>
  </si>
  <si>
    <t>Tushar Lagu</t>
  </si>
  <si>
    <t>625a784c4f1d57006a26d58a</t>
  </si>
  <si>
    <t>Vicky Chauhan</t>
  </si>
  <si>
    <t>625a7c700630bd007077cc4d</t>
  </si>
  <si>
    <t>Vinay Baligar</t>
  </si>
  <si>
    <t>712020:fd4e1e56-7d98-42f6-9f67-e3cc35e4e55b</t>
  </si>
  <si>
    <t>625a7c0413c2c8006a37f39c</t>
  </si>
  <si>
    <t>RT_Legacy Template Functionalities</t>
  </si>
  <si>
    <t>TempMngr_Templates</t>
  </si>
  <si>
    <t>QA-16540</t>
  </si>
  <si>
    <t>RT_Templates_Template Overview</t>
  </si>
  <si>
    <t>RT_Context of Reservation template</t>
  </si>
  <si>
    <t>RT_Reservation Bill and Installments component</t>
  </si>
  <si>
    <t>TempMngr_Layouts and Attributes</t>
  </si>
  <si>
    <t>RT_Reservation_Payment and Payment reminders</t>
  </si>
  <si>
    <t>RT_Reservation_Accommodation type, add-ons and Recommended add-ons component</t>
  </si>
  <si>
    <t>RT_Reservation_Point of interest and Loyalty transactions</t>
  </si>
  <si>
    <t>RT_Context of Customer template</t>
  </si>
  <si>
    <t>RT_Context of Tax Invoice template</t>
  </si>
  <si>
    <t>RT_Context of Payment template</t>
  </si>
  <si>
    <t>RT_Context of No dynamic data template</t>
  </si>
  <si>
    <t>RT_Context of Loyalty transaction template</t>
  </si>
  <si>
    <t>RT_Attachment or Mail Template</t>
  </si>
  <si>
    <t>RT_Reservation_Activities and Activity e-ticket</t>
  </si>
  <si>
    <t>RT_About and Build Mode</t>
  </si>
  <si>
    <t>RT_BuildMode_RowColumnConfiguration</t>
  </si>
  <si>
    <t>RT_Template_More options (Three dots)</t>
  </si>
  <si>
    <t>RT_Template Themes</t>
  </si>
  <si>
    <t>TempMngr_Themes</t>
  </si>
  <si>
    <t>RT_Template blocks</t>
  </si>
  <si>
    <t>RT_Report Configuration</t>
  </si>
  <si>
    <t>RT_Notifications_Manager_ E2E</t>
  </si>
  <si>
    <t>NEW</t>
  </si>
  <si>
    <t>RT_Template Blocks_Visibility Settings</t>
  </si>
  <si>
    <t>RT_Reservation_Loyalty Transactions</t>
  </si>
  <si>
    <t xml:space="preserve">RT_NM Landing Page </t>
  </si>
  <si>
    <t>Created on 2023-10-20 for release 2023_Week_43</t>
  </si>
  <si>
    <t>RT_NM General Test Cases</t>
  </si>
  <si>
    <t>Created on 2022-09-12 for release 2022_Week_37</t>
  </si>
  <si>
    <t xml:space="preserve">RT_NM Creating Manual task General
</t>
  </si>
  <si>
    <t>New Test Case Uploaded on 2022-09-16</t>
  </si>
  <si>
    <t xml:space="preserve">RT_NM Creating Periodic task Functional
</t>
  </si>
  <si>
    <t>QA-3120</t>
  </si>
  <si>
    <t>RT_Locations</t>
  </si>
  <si>
    <t>ContMgmt_Locations</t>
  </si>
  <si>
    <t>QA-3119</t>
  </si>
  <si>
    <t>25m</t>
  </si>
  <si>
    <t>QA-3121</t>
  </si>
  <si>
    <t>ContMgmt_AccoType</t>
  </si>
  <si>
    <t>QA-3122</t>
  </si>
  <si>
    <t>RT_Units</t>
  </si>
  <si>
    <t>ContMgmt_Units</t>
  </si>
  <si>
    <t>QA-3123</t>
  </si>
  <si>
    <t>RT_Contacts</t>
  </si>
  <si>
    <t>ContMgmt_Contacts</t>
  </si>
  <si>
    <t>50m</t>
  </si>
  <si>
    <t>QA-3124</t>
  </si>
  <si>
    <t>RT_Amenities</t>
  </si>
  <si>
    <t>ContMgmt_Amenities</t>
  </si>
  <si>
    <t>QA-3125</t>
  </si>
  <si>
    <t>RT_InfoTexts</t>
  </si>
  <si>
    <t>ContMgmt_InfoText</t>
  </si>
  <si>
    <t>QA-3126</t>
  </si>
  <si>
    <t>RT_Media_Documentation</t>
  </si>
  <si>
    <t>ContMgmt_Media</t>
  </si>
  <si>
    <t>1h 10m</t>
  </si>
  <si>
    <t>Uploading media and documents is still out of scope</t>
  </si>
  <si>
    <t>QA-3127</t>
  </si>
  <si>
    <t>RT_Memo</t>
  </si>
  <si>
    <t>ContMgmt_Memo</t>
  </si>
  <si>
    <t>QA-3128</t>
  </si>
  <si>
    <t>RT_Add-On</t>
  </si>
  <si>
    <t>ContMgmt_AddOns</t>
  </si>
  <si>
    <t>QA-3129</t>
  </si>
  <si>
    <t>RT_Fields</t>
  </si>
  <si>
    <t>ContMgmt_Fields</t>
  </si>
  <si>
    <t>QA-3130</t>
  </si>
  <si>
    <t>RT_Representation Set</t>
  </si>
  <si>
    <t>ContMgmt_RepresentationSet</t>
  </si>
  <si>
    <t>QA-3131</t>
  </si>
  <si>
    <t>RT_DC Groups</t>
  </si>
  <si>
    <t>ContMgmt_DCGroups</t>
  </si>
  <si>
    <t>Linking and unlinking of DCs and DC group at various places</t>
  </si>
  <si>
    <t>QA-3132</t>
  </si>
  <si>
    <t>RT_Import</t>
  </si>
  <si>
    <t>ContMgmt_Imports</t>
  </si>
  <si>
    <t xml:space="preserve">Out of scope </t>
  </si>
  <si>
    <t>QA-3133</t>
  </si>
  <si>
    <t>RT_Batch Update</t>
  </si>
  <si>
    <t>ContMgmt_BatchUpdates</t>
  </si>
  <si>
    <t>Major part is not automated/out of scope</t>
  </si>
  <si>
    <t>QA-3134</t>
  </si>
  <si>
    <t>RT_Other Config</t>
  </si>
  <si>
    <t>ContMgmt_OtherConfig</t>
  </si>
  <si>
    <t>QA-5072</t>
  </si>
  <si>
    <t>RT_Dash Board</t>
  </si>
  <si>
    <t>ContMgmt_Dashboard</t>
  </si>
  <si>
    <t>Validate export results and filters</t>
  </si>
  <si>
    <t>QA-5073</t>
  </si>
  <si>
    <t>RT_Subject Categories</t>
  </si>
  <si>
    <t>ContMgmt_Categories</t>
  </si>
  <si>
    <t>QA-5074</t>
  </si>
  <si>
    <t>RT_Other Categories</t>
  </si>
  <si>
    <t>QA-5075</t>
  </si>
  <si>
    <t>RT_API User</t>
  </si>
  <si>
    <t>QA-9294</t>
  </si>
  <si>
    <t>Created on 2022-07-01 for release 2022_Week_27</t>
  </si>
  <si>
    <t>QA-5076</t>
  </si>
  <si>
    <t>RT_Employee_Contact Person</t>
  </si>
  <si>
    <t>QA-5077</t>
  </si>
  <si>
    <t>RT_Employee_Batch Update</t>
  </si>
  <si>
    <t>Major part not automated/out of scope</t>
  </si>
  <si>
    <t>QA-7252</t>
  </si>
  <si>
    <t>RT_Export</t>
  </si>
  <si>
    <t>ContMgmt_Export</t>
  </si>
  <si>
    <t>Exporting Excel files and verifying it is out of automation scope</t>
  </si>
  <si>
    <t>RT_Activities</t>
  </si>
  <si>
    <t>ContMgmt_Activities</t>
  </si>
  <si>
    <t>RT_Priority Management</t>
  </si>
  <si>
    <t>ContMgmt_PriorityMgmt</t>
  </si>
  <si>
    <t>As many test cases were failing due to revamp and new features in the module</t>
  </si>
  <si>
    <t>QA-17142</t>
  </si>
  <si>
    <t>RT_Accommodation type groups</t>
  </si>
  <si>
    <t>1680m</t>
  </si>
  <si>
    <t>895m</t>
  </si>
  <si>
    <t>Manual Estimate Work(this needs to fill in ticket)</t>
  </si>
  <si>
    <t>QA-7533</t>
  </si>
  <si>
    <t>RT_Customer_Merge</t>
  </si>
  <si>
    <t>CRM_Customer</t>
  </si>
  <si>
    <t>QA-3535</t>
  </si>
  <si>
    <t>1h 24m</t>
  </si>
  <si>
    <t>QA-3536</t>
  </si>
  <si>
    <t>RT_Customer_Overview_Page</t>
  </si>
  <si>
    <t>18m</t>
  </si>
  <si>
    <t>QA-3538</t>
  </si>
  <si>
    <t>RT_Cases_Module</t>
  </si>
  <si>
    <t>CRM_Case</t>
  </si>
  <si>
    <t>11m</t>
  </si>
  <si>
    <t>QA-5113</t>
  </si>
  <si>
    <t>RT_Customer_Care_Configuration</t>
  </si>
  <si>
    <t>CRM_Configuration</t>
  </si>
  <si>
    <t>RT_Communication_Channel_Configuration</t>
  </si>
  <si>
    <t>47m</t>
  </si>
  <si>
    <t>0h 47m</t>
  </si>
  <si>
    <t>RT_Unified_Inbox</t>
  </si>
  <si>
    <t>CRM_Emails</t>
  </si>
  <si>
    <t>1h 02m</t>
  </si>
  <si>
    <t>QA-16898</t>
  </si>
  <si>
    <t>RT_Loyalty_Program_Add_Points_Manually</t>
  </si>
  <si>
    <t>CRM_Loyalty</t>
  </si>
  <si>
    <t>13m</t>
  </si>
  <si>
    <t>QA-22287</t>
  </si>
  <si>
    <t>RT_Whatsapp_End_to_End</t>
  </si>
  <si>
    <t>QA-24463</t>
  </si>
  <si>
    <t>RT_Loyalty_Dashboard</t>
  </si>
  <si>
    <t>QA-5111</t>
  </si>
  <si>
    <t>RT_Employee_Dashboard(V2)</t>
  </si>
  <si>
    <t>CRM_EmployeeDashboard</t>
  </si>
  <si>
    <t>53m</t>
  </si>
  <si>
    <t>QA-5112</t>
  </si>
  <si>
    <t>RT_Supervisor_Dashboard(v2)</t>
  </si>
  <si>
    <t>CRM_SupervisorDashboard</t>
  </si>
  <si>
    <t>QA-17158</t>
  </si>
  <si>
    <t>RT_Customer_Title</t>
  </si>
  <si>
    <t>0m</t>
  </si>
  <si>
    <t>QA-8022</t>
  </si>
  <si>
    <t>RT_Inbox_Configuration</t>
  </si>
  <si>
    <t>QA-3537</t>
  </si>
  <si>
    <t>RT_Memos</t>
  </si>
  <si>
    <t>CRM_Memo</t>
  </si>
  <si>
    <t>QA-12373</t>
  </si>
  <si>
    <t>RT_All_Messages_Dashboard</t>
  </si>
  <si>
    <t>QA-24459</t>
  </si>
  <si>
    <t>RT_Loyalty_Rewards</t>
  </si>
  <si>
    <t>QA-24462</t>
  </si>
  <si>
    <t>RT_Cases_Workflow</t>
  </si>
  <si>
    <t>QA-17268</t>
  </si>
  <si>
    <t>RT_Redemption_Configuration</t>
  </si>
  <si>
    <t>19m</t>
  </si>
  <si>
    <t>QA-8021</t>
  </si>
  <si>
    <t>RT_Customer_Status_Configuration</t>
  </si>
  <si>
    <t>QA-7534</t>
  </si>
  <si>
    <t>RT_Customer_Search</t>
  </si>
  <si>
    <t>QA-7535</t>
  </si>
  <si>
    <t>RT_RM_Customer</t>
  </si>
  <si>
    <t>32m</t>
  </si>
  <si>
    <t>QA-16113</t>
  </si>
  <si>
    <t>RT_Loyalty_Program_Reward_Configuration</t>
  </si>
  <si>
    <t>38m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</si>
</sst>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m-yyyy"/>
  </numFmts>
  <fonts count="40">
    <font>
      <sz val="10.0"/>
      <color rgb="FF000000"/>
      <name val="Arial"/>
      <scheme val="minor"/>
    </font>
    <font>
      <sz val="12.0"/>
      <color rgb="FFFFFF00"/>
      <name val="Arial"/>
      <scheme val="minor"/>
    </font>
    <font>
      <u/>
      <color theme="4"/>
    </font>
    <font>
      <color theme="4"/>
      <name val="Arial"/>
      <scheme val="minor"/>
    </font>
    <font>
      <color rgb="FF006391"/>
      <name val="Arial"/>
      <scheme val="minor"/>
    </font>
    <font>
      <color theme="1"/>
      <name val="Arial"/>
      <scheme val="minor"/>
    </font>
    <font>
      <color theme="0"/>
      <name val="Arial"/>
      <scheme val="minor"/>
    </font>
    <font>
      <b/>
      <sz val="14.0"/>
      <color rgb="FF000000"/>
      <name val="Calibri"/>
    </font>
    <font/>
    <font>
      <sz val="11.0"/>
      <color rgb="FF000000"/>
      <name val="Calibri"/>
    </font>
    <font>
      <sz val="12.0"/>
      <color rgb="FF00FF00"/>
      <name val="Arial"/>
      <scheme val="minor"/>
    </font>
    <font>
      <u/>
      <color rgb="FF0000FF"/>
    </font>
    <font>
      <u/>
      <color rgb="FF0000FF"/>
    </font>
    <font>
      <b/>
      <sz val="11.0"/>
      <color theme="1"/>
      <name val="Arial"/>
    </font>
    <font>
      <color rgb="FF000000"/>
      <name val="Roboto"/>
    </font>
    <font>
      <color rgb="FF314C59"/>
      <name val="Arial"/>
    </font>
    <font>
      <u/>
      <color rgb="FF0000FF"/>
      <name val="Arial"/>
    </font>
    <font>
      <color theme="1"/>
      <name val="Arial"/>
    </font>
    <font>
      <u/>
      <color rgb="FF0000FF"/>
      <name val="Arial"/>
    </font>
    <font>
      <u/>
      <color rgb="FF0000FF"/>
    </font>
    <font>
      <u/>
      <color rgb="FFB15DBA"/>
      <name val="Arial"/>
    </font>
    <font>
      <u/>
      <color rgb="FF0000FF"/>
    </font>
    <font>
      <b/>
      <color theme="1"/>
      <name val="Arial"/>
      <scheme val="minor"/>
    </font>
    <font>
      <u/>
      <color rgb="FF0000FF"/>
    </font>
    <font>
      <u/>
      <color rgb="FF0000FF"/>
    </font>
    <font>
      <color rgb="FF000000"/>
      <name val="Arial"/>
      <scheme val="minor"/>
    </font>
    <font>
      <u/>
      <color rgb="FF000000"/>
    </font>
    <font>
      <color rgb="FF000000"/>
      <name val="Arial"/>
    </font>
    <font>
      <u/>
      <color rgb="FF000000"/>
      <name val="Arial"/>
    </font>
    <font>
      <u/>
      <color rgb="FF000000"/>
      <name val="Arial"/>
    </font>
    <font>
      <u/>
      <color rgb="FF0000FF"/>
    </font>
    <font>
      <b/>
      <sz val="11.0"/>
      <color rgb="FF000000"/>
      <name val="Calibri"/>
    </font>
    <font>
      <u/>
      <color rgb="FF314C59"/>
      <name val="Arial"/>
    </font>
    <font>
      <sz val="11.0"/>
      <color rgb="FF1D1C1D"/>
      <name val="Slack-Lato"/>
    </font>
    <font>
      <sz val="9.0"/>
      <color rgb="FF0451A5"/>
      <name val="Arial"/>
      <scheme val="minor"/>
    </font>
    <font>
      <sz val="9.0"/>
      <color rgb="FF000000"/>
      <name val="Arial"/>
      <scheme val="minor"/>
    </font>
    <font>
      <b/>
      <sz val="11.0"/>
      <color theme="1"/>
      <name val="Arial"/>
      <scheme val="minor"/>
    </font>
    <font>
      <u/>
      <color rgb="FF0000FF"/>
    </font>
    <font>
      <u/>
      <color rgb="FF0000FF"/>
    </font>
    <font>
      <u/>
      <color rgb="FFB15DBA"/>
      <name val="Arial"/>
    </font>
  </fonts>
  <fills count="16">
    <fill>
      <patternFill patternType="none"/>
    </fill>
    <fill>
      <patternFill patternType="lightGray"/>
    </fill>
    <fill>
      <patternFill patternType="solid">
        <fgColor theme="4"/>
        <bgColor theme="4"/>
      </patternFill>
    </fill>
    <fill>
      <patternFill patternType="solid">
        <fgColor rgb="FFC9DAF8"/>
        <bgColor rgb="FFC9DAF8"/>
      </patternFill>
    </fill>
    <fill>
      <patternFill patternType="solid">
        <fgColor rgb="FFFFE599"/>
        <bgColor rgb="FFFFE599"/>
      </patternFill>
    </fill>
    <fill>
      <patternFill patternType="solid">
        <fgColor rgb="FFFFFFFF"/>
        <bgColor rgb="FFFFFFFF"/>
      </patternFill>
    </fill>
    <fill>
      <patternFill patternType="solid">
        <fgColor rgb="FFFFD966"/>
        <bgColor rgb="FFFFD966"/>
      </patternFill>
    </fill>
    <fill>
      <patternFill patternType="solid">
        <fgColor theme="0"/>
        <bgColor theme="0"/>
      </patternFill>
    </fill>
    <fill>
      <patternFill patternType="solid">
        <fgColor rgb="FFFF9900"/>
        <bgColor rgb="FFFF9900"/>
      </patternFill>
    </fill>
    <fill>
      <patternFill patternType="solid">
        <fgColor rgb="FFCFE2F3"/>
        <bgColor rgb="FFCFE2F3"/>
      </patternFill>
    </fill>
    <fill>
      <patternFill patternType="solid">
        <fgColor theme="9"/>
        <bgColor theme="9"/>
      </patternFill>
    </fill>
    <fill>
      <patternFill patternType="solid">
        <fgColor rgb="FF00FFFF"/>
        <bgColor rgb="FF00FFFF"/>
      </patternFill>
    </fill>
    <fill>
      <patternFill patternType="solid">
        <fgColor rgb="FFEAD1DC"/>
        <bgColor rgb="FFEAD1DC"/>
      </patternFill>
    </fill>
    <fill>
      <patternFill patternType="solid">
        <fgColor rgb="FF00FF00"/>
        <bgColor rgb="FF00FF00"/>
      </patternFill>
    </fill>
    <fill>
      <patternFill patternType="solid">
        <fgColor rgb="FFF8F8F8"/>
        <bgColor rgb="FFF8F8F8"/>
      </patternFill>
    </fill>
    <fill>
      <patternFill patternType="solid">
        <fgColor rgb="FFFFFFFE"/>
        <bgColor rgb="FFFFFFFE"/>
      </patternFill>
    </fill>
  </fills>
  <borders count="12">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top style="thin">
        <color rgb="FF000000"/>
      </top>
      <bottom style="thin">
        <color rgb="FF000000"/>
      </bottom>
    </border>
    <border>
      <bottom style="thin">
        <color rgb="FF000000"/>
      </bottom>
    </border>
    <border>
      <left style="thin">
        <color rgb="FF000000"/>
      </left>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readingOrder="0"/>
    </xf>
    <xf borderId="0" fillId="3" fontId="3" numFmtId="0" xfId="0" applyAlignment="1" applyFont="1">
      <alignment readingOrder="0"/>
    </xf>
    <xf borderId="0" fillId="3" fontId="4" numFmtId="0" xfId="0" applyAlignment="1" applyFont="1">
      <alignment readingOrder="0"/>
    </xf>
    <xf borderId="0" fillId="3" fontId="3" numFmtId="0" xfId="0" applyAlignment="1" applyFont="1">
      <alignment readingOrder="0"/>
    </xf>
    <xf borderId="0" fillId="0" fontId="5" numFmtId="0" xfId="0" applyAlignment="1" applyFont="1">
      <alignment horizontal="center"/>
    </xf>
    <xf borderId="0" fillId="0" fontId="6" numFmtId="0" xfId="0" applyFont="1"/>
    <xf borderId="0" fillId="0" fontId="5" numFmtId="0" xfId="0" applyAlignment="1" applyFont="1">
      <alignment readingOrder="0"/>
    </xf>
    <xf borderId="1" fillId="0" fontId="7" numFmtId="0" xfId="0" applyAlignment="1" applyBorder="1" applyFont="1">
      <alignment horizontal="center" readingOrder="0" shrinkToFit="0" vertical="bottom" wrapText="0"/>
    </xf>
    <xf borderId="2" fillId="0" fontId="7" numFmtId="0" xfId="0" applyAlignment="1" applyBorder="1" applyFont="1">
      <alignment horizontal="center" readingOrder="0" shrinkToFit="0" vertical="bottom" wrapText="0"/>
    </xf>
    <xf borderId="3" fillId="0" fontId="8" numFmtId="0" xfId="0" applyBorder="1" applyFont="1"/>
    <xf borderId="0" fillId="2" fontId="1" numFmtId="0" xfId="0" applyAlignment="1" applyFont="1">
      <alignment horizontal="left" readingOrder="0" vertical="center"/>
    </xf>
    <xf borderId="4" fillId="0" fontId="9" numFmtId="0" xfId="0" applyAlignment="1" applyBorder="1" applyFont="1">
      <alignment readingOrder="0" shrinkToFit="0" vertical="bottom" wrapText="0"/>
    </xf>
    <xf borderId="5" fillId="0" fontId="9" numFmtId="0" xfId="0" applyAlignment="1" applyBorder="1" applyFont="1">
      <alignment readingOrder="0" shrinkToFit="0" vertical="bottom" wrapText="0"/>
    </xf>
    <xf borderId="6" fillId="0" fontId="9" numFmtId="0" xfId="0" applyAlignment="1" applyBorder="1" applyFont="1">
      <alignment readingOrder="0" shrinkToFit="0" vertical="bottom" wrapText="0"/>
    </xf>
    <xf borderId="0" fillId="0" fontId="5" numFmtId="164" xfId="0" applyAlignment="1" applyFont="1" applyNumberFormat="1">
      <alignment readingOrder="0"/>
    </xf>
    <xf borderId="0" fillId="2" fontId="10" numFmtId="0" xfId="0" applyAlignment="1" applyFont="1">
      <alignment horizontal="left" readingOrder="0" vertical="center"/>
    </xf>
    <xf borderId="0" fillId="2" fontId="10" numFmtId="0" xfId="0" applyAlignment="1" applyFont="1">
      <alignment horizontal="center" readingOrder="0" vertical="center"/>
    </xf>
    <xf borderId="0" fillId="3" fontId="5" numFmtId="0" xfId="0" applyAlignment="1" applyFont="1">
      <alignment readingOrder="0"/>
    </xf>
    <xf borderId="0" fillId="0" fontId="9" numFmtId="0" xfId="0" applyAlignment="1" applyFont="1">
      <alignment shrinkToFit="0" vertical="bottom" wrapText="0"/>
    </xf>
    <xf borderId="0" fillId="3" fontId="5" numFmtId="0" xfId="0" applyFont="1"/>
    <xf borderId="7" fillId="0" fontId="9" numFmtId="0" xfId="0" applyAlignment="1" applyBorder="1" applyFont="1">
      <alignment readingOrder="0" shrinkToFit="0" vertical="bottom" wrapText="0"/>
    </xf>
    <xf borderId="8" fillId="0" fontId="9" numFmtId="0" xfId="0" applyAlignment="1" applyBorder="1" applyFont="1">
      <alignment readingOrder="0" shrinkToFit="0" vertical="bottom" wrapText="0"/>
    </xf>
    <xf borderId="0" fillId="0" fontId="5" numFmtId="0" xfId="0" applyFont="1"/>
    <xf borderId="0" fillId="3" fontId="11" numFmtId="0" xfId="0" applyAlignment="1" applyFont="1">
      <alignment readingOrder="0"/>
    </xf>
    <xf borderId="0" fillId="3" fontId="12" numFmtId="0" xfId="0" applyFont="1"/>
    <xf borderId="1" fillId="0" fontId="9" numFmtId="0" xfId="0" applyAlignment="1" applyBorder="1" applyFont="1">
      <alignment readingOrder="0" shrinkToFit="0" vertical="bottom" wrapText="0"/>
    </xf>
    <xf borderId="0" fillId="4" fontId="13" numFmtId="0" xfId="0" applyAlignment="1" applyFill="1" applyFont="1">
      <alignment readingOrder="0" vertical="bottom"/>
    </xf>
    <xf borderId="1" fillId="3" fontId="9" numFmtId="0" xfId="0" applyAlignment="1" applyBorder="1" applyFont="1">
      <alignment readingOrder="0" shrinkToFit="0" vertical="bottom" wrapText="0"/>
    </xf>
    <xf borderId="3" fillId="3" fontId="9" numFmtId="0" xfId="0" applyAlignment="1" applyBorder="1" applyFont="1">
      <alignment readingOrder="0" shrinkToFit="0" vertical="bottom" wrapText="0"/>
    </xf>
    <xf borderId="7" fillId="3" fontId="9" numFmtId="0" xfId="0" applyAlignment="1" applyBorder="1" applyFont="1">
      <alignment readingOrder="0" shrinkToFit="0" vertical="bottom" wrapText="0"/>
    </xf>
    <xf borderId="0" fillId="3" fontId="9" numFmtId="0" xfId="0" applyAlignment="1" applyFont="1">
      <alignment shrinkToFit="0" vertical="bottom" wrapText="0"/>
    </xf>
    <xf borderId="0" fillId="3" fontId="14" numFmtId="0" xfId="0" applyAlignment="1" applyFont="1">
      <alignment readingOrder="0"/>
    </xf>
    <xf borderId="0" fillId="0" fontId="14" numFmtId="0" xfId="0" applyAlignment="1" applyFont="1">
      <alignment readingOrder="0"/>
    </xf>
    <xf borderId="0" fillId="3" fontId="15" numFmtId="0" xfId="0" applyAlignment="1" applyFont="1">
      <alignment horizontal="left" readingOrder="0"/>
    </xf>
    <xf borderId="0" fillId="3" fontId="16" numFmtId="0" xfId="0" applyAlignment="1" applyFont="1">
      <alignment readingOrder="0" vertical="bottom"/>
    </xf>
    <xf borderId="0" fillId="3" fontId="17" numFmtId="0" xfId="0" applyAlignment="1" applyFont="1">
      <alignment readingOrder="0" vertical="bottom"/>
    </xf>
    <xf borderId="0" fillId="3" fontId="17" numFmtId="0" xfId="0" applyAlignment="1" applyFont="1">
      <alignment vertical="bottom"/>
    </xf>
    <xf borderId="0" fillId="3" fontId="18" numFmtId="0" xfId="0" applyAlignment="1" applyFont="1">
      <alignment readingOrder="0" vertical="bottom"/>
    </xf>
    <xf borderId="0" fillId="0" fontId="19" numFmtId="0" xfId="0" applyFont="1"/>
    <xf borderId="9" fillId="0" fontId="7" numFmtId="0" xfId="0" applyAlignment="1" applyBorder="1" applyFont="1">
      <alignment horizontal="center" readingOrder="0" shrinkToFit="0" vertical="bottom" wrapText="0"/>
    </xf>
    <xf borderId="1" fillId="0" fontId="5" numFmtId="0" xfId="0" applyBorder="1" applyFont="1"/>
    <xf borderId="9" fillId="0" fontId="9" numFmtId="0" xfId="0" applyAlignment="1" applyBorder="1" applyFont="1">
      <alignment readingOrder="0" shrinkToFit="0" vertical="bottom" wrapText="0"/>
    </xf>
    <xf borderId="0" fillId="0" fontId="9" numFmtId="0" xfId="0" applyAlignment="1" applyFont="1">
      <alignment readingOrder="0" shrinkToFit="0" vertical="bottom" wrapText="0"/>
    </xf>
    <xf borderId="0" fillId="3" fontId="20" numFmtId="0" xfId="0" applyAlignment="1" applyFont="1">
      <alignment vertical="bottom"/>
    </xf>
    <xf borderId="9" fillId="0" fontId="5" numFmtId="0" xfId="0" applyBorder="1" applyFont="1"/>
    <xf borderId="9" fillId="0" fontId="9" numFmtId="0" xfId="0" applyAlignment="1" applyBorder="1" applyFont="1">
      <alignment shrinkToFit="0" vertical="bottom" wrapText="0"/>
    </xf>
    <xf borderId="1" fillId="5" fontId="5" numFmtId="0" xfId="0" applyAlignment="1" applyBorder="1" applyFill="1" applyFont="1">
      <alignment readingOrder="0"/>
    </xf>
    <xf borderId="0" fillId="3" fontId="5" numFmtId="0" xfId="0" applyAlignment="1" applyFont="1">
      <alignment horizontal="right" readingOrder="0"/>
    </xf>
    <xf borderId="0" fillId="6" fontId="5" numFmtId="0" xfId="0" applyAlignment="1" applyFill="1" applyFont="1">
      <alignment readingOrder="0"/>
    </xf>
    <xf borderId="0" fillId="0" fontId="5" numFmtId="0" xfId="0" applyAlignment="1" applyFont="1">
      <alignment horizontal="right" readingOrder="0"/>
    </xf>
    <xf borderId="0" fillId="3" fontId="5" numFmtId="49" xfId="0" applyAlignment="1" applyFont="1" applyNumberFormat="1">
      <alignment readingOrder="0"/>
    </xf>
    <xf borderId="0" fillId="3" fontId="5" numFmtId="0" xfId="0" applyAlignment="1" applyFont="1">
      <alignment horizontal="left" readingOrder="0"/>
    </xf>
    <xf borderId="0" fillId="0" fontId="21" numFmtId="0" xfId="0" applyAlignment="1" applyFont="1">
      <alignment readingOrder="0"/>
    </xf>
    <xf borderId="0" fillId="0" fontId="5" numFmtId="0" xfId="0" applyAlignment="1" applyFont="1">
      <alignment shrinkToFit="0" wrapText="1"/>
    </xf>
    <xf borderId="0" fillId="0" fontId="5" numFmtId="0" xfId="0" applyAlignment="1" applyFont="1">
      <alignment readingOrder="0" shrinkToFit="0" wrapText="1"/>
    </xf>
    <xf borderId="0" fillId="2" fontId="1"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3" fontId="5" numFmtId="0" xfId="0" applyAlignment="1" applyFont="1">
      <alignment readingOrder="0" shrinkToFit="0" wrapText="1"/>
    </xf>
    <xf borderId="0" fillId="0" fontId="22" numFmtId="0" xfId="0" applyAlignment="1" applyFont="1">
      <alignment readingOrder="0"/>
    </xf>
    <xf borderId="0" fillId="3" fontId="5" numFmtId="0" xfId="0" applyAlignment="1" applyFont="1">
      <alignment shrinkToFit="0" wrapText="1"/>
    </xf>
    <xf borderId="0" fillId="4" fontId="13" numFmtId="0" xfId="0" applyAlignment="1" applyFont="1">
      <alignment horizontal="center" readingOrder="0" vertical="bottom"/>
    </xf>
    <xf borderId="1" fillId="0" fontId="9" numFmtId="0" xfId="0" applyAlignment="1" applyBorder="1" applyFont="1">
      <alignment readingOrder="0" vertical="bottom"/>
    </xf>
    <xf borderId="3" fillId="0" fontId="9" numFmtId="0" xfId="0" applyAlignment="1" applyBorder="1" applyFont="1">
      <alignment readingOrder="0" shrinkToFit="0" vertical="bottom" wrapText="0"/>
    </xf>
    <xf borderId="0" fillId="0" fontId="5" numFmtId="0" xfId="0" applyAlignment="1" applyFont="1">
      <alignment horizontal="center" readingOrder="0"/>
    </xf>
    <xf borderId="5" fillId="0" fontId="9" numFmtId="0" xfId="0" applyAlignment="1" applyBorder="1" applyFont="1">
      <alignment readingOrder="0" vertical="bottom"/>
    </xf>
    <xf borderId="0" fillId="5" fontId="15" numFmtId="0" xfId="0" applyAlignment="1" applyFont="1">
      <alignment horizontal="left" readingOrder="0"/>
    </xf>
    <xf borderId="1" fillId="5" fontId="9" numFmtId="0" xfId="0" applyAlignment="1" applyBorder="1" applyFont="1">
      <alignment horizontal="left" readingOrder="0"/>
    </xf>
    <xf borderId="1" fillId="5" fontId="9" numFmtId="0" xfId="0" applyAlignment="1" applyBorder="1" applyFont="1">
      <alignment readingOrder="0" shrinkToFit="0" vertical="bottom" wrapText="0"/>
    </xf>
    <xf borderId="1" fillId="7" fontId="5" numFmtId="0" xfId="0" applyAlignment="1" applyBorder="1" applyFill="1" applyFont="1">
      <alignment readingOrder="0"/>
    </xf>
    <xf borderId="1" fillId="5" fontId="23" numFmtId="0" xfId="0" applyAlignment="1" applyBorder="1" applyFont="1">
      <alignment readingOrder="0"/>
    </xf>
    <xf borderId="1" fillId="5" fontId="14" numFmtId="0" xfId="0" applyAlignment="1" applyBorder="1" applyFont="1">
      <alignment readingOrder="0"/>
    </xf>
    <xf borderId="0" fillId="5" fontId="5" numFmtId="0" xfId="0" applyAlignment="1" applyFont="1">
      <alignment readingOrder="0"/>
    </xf>
    <xf borderId="5" fillId="5" fontId="9" numFmtId="0" xfId="0" applyAlignment="1" applyBorder="1" applyFont="1">
      <alignment readingOrder="0" shrinkToFit="0" vertical="bottom" wrapText="0"/>
    </xf>
    <xf borderId="0" fillId="5" fontId="9" numFmtId="0" xfId="0" applyAlignment="1" applyFont="1">
      <alignment shrinkToFit="0" vertical="bottom" wrapText="0"/>
    </xf>
    <xf borderId="0" fillId="5" fontId="5" numFmtId="0" xfId="0" applyFont="1"/>
    <xf borderId="1" fillId="5" fontId="9" numFmtId="0" xfId="0" applyAlignment="1" applyBorder="1" applyFont="1">
      <alignment readingOrder="0" vertical="bottom"/>
    </xf>
    <xf borderId="1" fillId="5" fontId="24" numFmtId="0" xfId="0" applyBorder="1" applyFont="1"/>
    <xf borderId="0" fillId="8" fontId="5" numFmtId="0" xfId="0" applyAlignment="1" applyFill="1" applyFont="1">
      <alignment readingOrder="0"/>
    </xf>
    <xf borderId="0" fillId="9" fontId="25" numFmtId="0" xfId="0" applyAlignment="1" applyFill="1" applyFont="1">
      <alignment readingOrder="0"/>
    </xf>
    <xf borderId="0" fillId="10" fontId="25" numFmtId="0" xfId="0" applyAlignment="1" applyFill="1" applyFont="1">
      <alignment readingOrder="0"/>
    </xf>
    <xf borderId="1" fillId="9" fontId="9" numFmtId="0" xfId="0" applyAlignment="1" applyBorder="1" applyFont="1">
      <alignment readingOrder="0" shrinkToFit="0" vertical="bottom" wrapText="0"/>
    </xf>
    <xf borderId="3" fillId="9" fontId="9" numFmtId="0" xfId="0" applyAlignment="1" applyBorder="1" applyFont="1">
      <alignment readingOrder="0" shrinkToFit="0" vertical="bottom" wrapText="0"/>
    </xf>
    <xf borderId="0" fillId="9" fontId="26" numFmtId="0" xfId="0" applyAlignment="1" applyFont="1">
      <alignment readingOrder="0"/>
    </xf>
    <xf borderId="0" fillId="9" fontId="27" numFmtId="0" xfId="0" applyAlignment="1" applyFont="1">
      <alignment horizontal="left" readingOrder="0"/>
    </xf>
    <xf borderId="0" fillId="9" fontId="14" numFmtId="0" xfId="0" applyAlignment="1" applyFont="1">
      <alignment readingOrder="0"/>
    </xf>
    <xf borderId="0" fillId="11" fontId="25" numFmtId="0" xfId="0" applyAlignment="1" applyFill="1" applyFont="1">
      <alignment readingOrder="0"/>
    </xf>
    <xf borderId="0" fillId="9" fontId="25" numFmtId="0" xfId="0" applyFont="1"/>
    <xf borderId="0" fillId="9" fontId="28" numFmtId="0" xfId="0" applyAlignment="1" applyFont="1">
      <alignment readingOrder="0" vertical="bottom"/>
    </xf>
    <xf borderId="0" fillId="9" fontId="27" numFmtId="0" xfId="0" applyAlignment="1" applyFont="1">
      <alignment readingOrder="0" vertical="bottom"/>
    </xf>
    <xf borderId="0" fillId="11" fontId="27" numFmtId="0" xfId="0" applyAlignment="1" applyFont="1">
      <alignment readingOrder="0" vertical="bottom"/>
    </xf>
    <xf borderId="0" fillId="9" fontId="27" numFmtId="0" xfId="0" applyAlignment="1" applyFont="1">
      <alignment vertical="bottom"/>
    </xf>
    <xf borderId="0" fillId="9" fontId="29" numFmtId="0" xfId="0" applyAlignment="1" applyFont="1">
      <alignment readingOrder="0" vertical="bottom"/>
    </xf>
    <xf borderId="1" fillId="2" fontId="1" numFmtId="0" xfId="0" applyAlignment="1" applyBorder="1" applyFont="1">
      <alignment horizontal="center" readingOrder="0" vertical="center"/>
    </xf>
    <xf borderId="1" fillId="2" fontId="10" numFmtId="0" xfId="0" applyAlignment="1" applyBorder="1" applyFont="1">
      <alignment horizontal="center" readingOrder="0" vertical="center"/>
    </xf>
    <xf borderId="1" fillId="4" fontId="13" numFmtId="0" xfId="0" applyAlignment="1" applyBorder="1" applyFont="1">
      <alignment readingOrder="0" vertical="bottom"/>
    </xf>
    <xf borderId="1" fillId="12" fontId="9" numFmtId="0" xfId="0" applyAlignment="1" applyBorder="1" applyFill="1" applyFont="1">
      <alignment readingOrder="0" shrinkToFit="0" vertical="bottom" wrapText="0"/>
    </xf>
    <xf borderId="1" fillId="3" fontId="5" numFmtId="0" xfId="0" applyAlignment="1" applyBorder="1" applyFont="1">
      <alignment readingOrder="0"/>
    </xf>
    <xf borderId="1" fillId="3" fontId="30" numFmtId="0" xfId="0" applyAlignment="1" applyBorder="1" applyFont="1">
      <alignment readingOrder="0"/>
    </xf>
    <xf borderId="1" fillId="0" fontId="5" numFmtId="0" xfId="0" applyAlignment="1" applyBorder="1" applyFont="1">
      <alignment readingOrder="0"/>
    </xf>
    <xf borderId="1" fillId="3" fontId="5" numFmtId="0" xfId="0" applyBorder="1" applyFont="1"/>
    <xf borderId="1" fillId="3" fontId="5" numFmtId="0" xfId="0" applyAlignment="1" applyBorder="1" applyFont="1">
      <alignment readingOrder="0"/>
    </xf>
    <xf borderId="1" fillId="5" fontId="5" numFmtId="0" xfId="0" applyBorder="1" applyFont="1"/>
    <xf borderId="7" fillId="5" fontId="9" numFmtId="0" xfId="0" applyAlignment="1" applyBorder="1" applyFont="1">
      <alignment readingOrder="0" shrinkToFit="0" vertical="bottom" wrapText="0"/>
    </xf>
    <xf borderId="0" fillId="0" fontId="7" numFmtId="0" xfId="0" applyAlignment="1" applyFont="1">
      <alignment horizontal="center" readingOrder="0" shrinkToFit="0" vertical="bottom" wrapText="0"/>
    </xf>
    <xf borderId="3" fillId="0" fontId="7" numFmtId="0" xfId="0" applyAlignment="1" applyBorder="1" applyFont="1">
      <alignment horizontal="center" readingOrder="0" shrinkToFit="0" vertical="bottom" wrapText="0"/>
    </xf>
    <xf borderId="0" fillId="0" fontId="31" numFmtId="0" xfId="0" applyAlignment="1" applyFont="1">
      <alignment readingOrder="0" shrinkToFit="0" vertical="bottom" wrapText="0"/>
    </xf>
    <xf borderId="0" fillId="4" fontId="5" numFmtId="0" xfId="0" applyAlignment="1" applyFont="1">
      <alignment readingOrder="0"/>
    </xf>
    <xf borderId="0" fillId="13" fontId="5" numFmtId="0" xfId="0" applyAlignment="1" applyFill="1" applyFont="1">
      <alignment readingOrder="0"/>
    </xf>
    <xf borderId="0" fillId="3" fontId="32" numFmtId="0" xfId="0" applyAlignment="1" applyFont="1">
      <alignment horizontal="left" readingOrder="0"/>
    </xf>
    <xf borderId="0" fillId="14" fontId="33" numFmtId="0" xfId="0" applyAlignment="1" applyFill="1" applyFont="1">
      <alignment horizontal="left" readingOrder="0"/>
    </xf>
    <xf borderId="0" fillId="15" fontId="34" numFmtId="0" xfId="0" applyAlignment="1" applyFill="1" applyFont="1">
      <alignment readingOrder="0"/>
    </xf>
    <xf borderId="0" fillId="15" fontId="35" numFmtId="0" xfId="0" applyAlignment="1" applyFont="1">
      <alignment readingOrder="0"/>
    </xf>
    <xf borderId="10" fillId="0" fontId="5" numFmtId="0" xfId="0" applyBorder="1" applyFont="1"/>
    <xf borderId="4" fillId="4" fontId="13" numFmtId="0" xfId="0" applyAlignment="1" applyBorder="1" applyFont="1">
      <alignment readingOrder="0" vertical="bottom"/>
    </xf>
    <xf borderId="11" fillId="0" fontId="9" numFmtId="0" xfId="0" applyAlignment="1" applyBorder="1" applyFont="1">
      <alignment readingOrder="0" shrinkToFit="0" vertical="bottom" wrapText="0"/>
    </xf>
    <xf borderId="0" fillId="9" fontId="17" numFmtId="0" xfId="0" applyAlignment="1" applyFont="1">
      <alignment vertical="bottom"/>
    </xf>
    <xf borderId="0" fillId="0" fontId="17" numFmtId="0" xfId="0" applyAlignment="1" applyFont="1">
      <alignment vertical="bottom"/>
    </xf>
    <xf borderId="0" fillId="13" fontId="17" numFmtId="0" xfId="0" applyAlignment="1" applyFont="1">
      <alignment readingOrder="0" vertical="bottom"/>
    </xf>
    <xf borderId="7" fillId="0" fontId="17" numFmtId="0" xfId="0" applyAlignment="1" applyBorder="1" applyFont="1">
      <alignment vertical="bottom"/>
    </xf>
    <xf borderId="11" fillId="0" fontId="17" numFmtId="0" xfId="0" applyAlignment="1" applyBorder="1" applyFont="1">
      <alignment vertical="bottom"/>
    </xf>
    <xf borderId="11" fillId="0" fontId="17" numFmtId="0" xfId="0" applyAlignment="1" applyBorder="1" applyFont="1">
      <alignment readingOrder="0" vertical="bottom"/>
    </xf>
    <xf borderId="0" fillId="0" fontId="17" numFmtId="0" xfId="0" applyAlignment="1" applyFont="1">
      <alignment vertical="bottom"/>
    </xf>
    <xf borderId="0" fillId="13" fontId="17" numFmtId="0" xfId="0" applyAlignment="1" applyFont="1">
      <alignment vertical="bottom"/>
    </xf>
    <xf borderId="0" fillId="9" fontId="5" numFmtId="0" xfId="0" applyAlignment="1" applyFont="1">
      <alignment readingOrder="0"/>
    </xf>
    <xf borderId="7" fillId="0" fontId="5" numFmtId="0" xfId="0" applyAlignment="1" applyBorder="1" applyFont="1">
      <alignment readingOrder="0"/>
    </xf>
    <xf borderId="11" fillId="0" fontId="5" numFmtId="0" xfId="0" applyAlignment="1" applyBorder="1" applyFont="1">
      <alignment readingOrder="0"/>
    </xf>
    <xf borderId="0" fillId="5" fontId="17" numFmtId="0" xfId="0" applyAlignment="1" applyFont="1">
      <alignment vertical="bottom"/>
    </xf>
    <xf borderId="0" fillId="0" fontId="9" numFmtId="0" xfId="0" applyAlignment="1" applyFont="1">
      <alignment vertical="bottom"/>
    </xf>
    <xf borderId="7" fillId="0" fontId="17" numFmtId="0" xfId="0" applyAlignment="1" applyBorder="1" applyFont="1">
      <alignment vertical="bottom"/>
    </xf>
    <xf borderId="0" fillId="4" fontId="36" numFmtId="0" xfId="0" applyAlignment="1" applyFont="1">
      <alignment readingOrder="0" shrinkToFit="0" wrapText="1"/>
    </xf>
    <xf borderId="5" fillId="0" fontId="9" numFmtId="0" xfId="0" applyAlignment="1" applyBorder="1" applyFont="1">
      <alignment vertical="bottom"/>
    </xf>
    <xf borderId="0" fillId="0" fontId="9" numFmtId="0" xfId="0" applyAlignment="1" applyFont="1">
      <alignment vertical="bottom"/>
    </xf>
    <xf borderId="0" fillId="6" fontId="37" numFmtId="0" xfId="0" applyFont="1"/>
    <xf borderId="0" fillId="6" fontId="38" numFmtId="0" xfId="0" applyAlignment="1" applyFont="1">
      <alignment readingOrder="0"/>
    </xf>
    <xf borderId="0" fillId="6" fontId="17" numFmtId="0" xfId="0" applyAlignment="1" applyFont="1">
      <alignment vertical="bottom"/>
    </xf>
    <xf borderId="0" fillId="6" fontId="17" numFmtId="0" xfId="0" applyAlignment="1" applyFont="1">
      <alignment readingOrder="0" vertical="bottom"/>
    </xf>
    <xf borderId="0" fillId="6" fontId="39" numFmtId="0" xfId="0" applyAlignment="1" applyFont="1">
      <alignment vertical="bottom"/>
    </xf>
    <xf borderId="0" fillId="6" fontId="5" numFmtId="0" xfId="0" applyAlignment="1" applyFont="1">
      <alignment horizontal="left" readingOrder="0" shrinkToFit="0" textRotation="0" wrapText="0"/>
    </xf>
    <xf borderId="0" fillId="5" fontId="17" numFmtId="0" xfId="0" applyAlignment="1" applyFont="1">
      <alignment readingOrder="0" vertical="bottom"/>
    </xf>
  </cellXfs>
  <cellStyles count="1">
    <cellStyle xfId="0" name="Normal" builtinId="0"/>
  </cellStyles>
  <dxfs count="3">
    <dxf>
      <font/>
      <fill>
        <patternFill patternType="solid">
          <fgColor rgb="FF00FF00"/>
          <bgColor rgb="FF00FF00"/>
        </patternFill>
      </fill>
      <border/>
    </dxf>
    <dxf>
      <font/>
      <fill>
        <patternFill patternType="solid">
          <fgColor theme="5"/>
          <bgColor theme="5"/>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atlassian.com/atlassian-account/docs/manage-api-tokens-for-your-atlassian-accou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xxton.atlassian.net/browse/QA-15099"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maxxton.atlassian.net/browse/QA-15099"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3"/>
    <col customWidth="1" min="3" max="3" width="98.75"/>
  </cols>
  <sheetData>
    <row r="2">
      <c r="B2" s="1" t="s">
        <v>0</v>
      </c>
    </row>
    <row r="3">
      <c r="B3" s="1">
        <v>1.0</v>
      </c>
      <c r="C3" s="2" t="s">
        <v>1</v>
      </c>
    </row>
    <row r="4">
      <c r="B4" s="1">
        <v>2.0</v>
      </c>
      <c r="C4" s="3" t="s">
        <v>2</v>
      </c>
    </row>
    <row r="7">
      <c r="B7" s="1" t="s">
        <v>3</v>
      </c>
    </row>
    <row r="8">
      <c r="B8" s="1">
        <v>1.0</v>
      </c>
      <c r="C8" s="3" t="s">
        <v>4</v>
      </c>
    </row>
    <row r="9">
      <c r="B9" s="1">
        <v>2.0</v>
      </c>
      <c r="C9" s="4" t="s">
        <v>5</v>
      </c>
    </row>
    <row r="10">
      <c r="B10" s="1">
        <v>3.0</v>
      </c>
      <c r="C10" s="3" t="s">
        <v>6</v>
      </c>
    </row>
    <row r="11">
      <c r="B11" s="1">
        <v>4.0</v>
      </c>
      <c r="C11" s="5" t="s">
        <v>7</v>
      </c>
    </row>
    <row r="12">
      <c r="B12" s="1">
        <v>5.0</v>
      </c>
      <c r="C12" s="3" t="s">
        <v>8</v>
      </c>
    </row>
    <row r="13">
      <c r="B13" s="1">
        <v>6.0</v>
      </c>
      <c r="C13" s="3" t="s">
        <v>9</v>
      </c>
    </row>
    <row r="14">
      <c r="B14" s="1">
        <v>7.0</v>
      </c>
      <c r="C14" s="3" t="s">
        <v>10</v>
      </c>
    </row>
    <row r="15">
      <c r="B15" s="1">
        <v>8.0</v>
      </c>
      <c r="C15" s="3" t="s">
        <v>11</v>
      </c>
    </row>
    <row r="16">
      <c r="B16" s="6"/>
      <c r="C16" s="7"/>
    </row>
    <row r="17">
      <c r="B17" s="1" t="s">
        <v>12</v>
      </c>
    </row>
    <row r="18">
      <c r="B18" s="1">
        <v>1.0</v>
      </c>
      <c r="C18" s="3" t="s">
        <v>4</v>
      </c>
    </row>
    <row r="19">
      <c r="B19" s="1">
        <v>2.0</v>
      </c>
      <c r="C19" s="4" t="s">
        <v>13</v>
      </c>
    </row>
    <row r="20">
      <c r="B20" s="1">
        <v>3.0</v>
      </c>
      <c r="C20" s="3" t="s">
        <v>14</v>
      </c>
    </row>
    <row r="21">
      <c r="B21" s="1">
        <v>4.0</v>
      </c>
      <c r="C21" s="3" t="s">
        <v>7</v>
      </c>
    </row>
    <row r="22">
      <c r="B22" s="1">
        <v>5.0</v>
      </c>
      <c r="C22" s="3" t="s">
        <v>15</v>
      </c>
    </row>
    <row r="23">
      <c r="B23" s="1">
        <v>6.0</v>
      </c>
      <c r="C23" s="3" t="s">
        <v>16</v>
      </c>
    </row>
    <row r="24">
      <c r="B24" s="1">
        <v>7.0</v>
      </c>
      <c r="C24" s="3" t="s">
        <v>11</v>
      </c>
    </row>
  </sheetData>
  <mergeCells count="3">
    <mergeCell ref="B2:C2"/>
    <mergeCell ref="B7:C7"/>
    <mergeCell ref="B17:C17"/>
  </mergeCells>
  <hyperlinks>
    <hyperlink r:id="rId1" ref="C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63"/>
    <col customWidth="1" min="7" max="7" width="13.63"/>
    <col customWidth="1" min="8" max="8" width="15.63"/>
  </cols>
  <sheetData>
    <row r="1">
      <c r="E1" s="1" t="s">
        <v>17</v>
      </c>
      <c r="F1" s="1" t="s">
        <v>18</v>
      </c>
      <c r="G1" s="1" t="s">
        <v>19</v>
      </c>
      <c r="H1" s="1" t="s">
        <v>20</v>
      </c>
    </row>
    <row r="2">
      <c r="E2" s="3"/>
      <c r="F2" s="4" t="s">
        <v>21</v>
      </c>
      <c r="G2" s="4" t="s">
        <v>22</v>
      </c>
      <c r="H2" s="4" t="s">
        <v>23</v>
      </c>
    </row>
    <row r="4">
      <c r="C4" s="1" t="s">
        <v>24</v>
      </c>
      <c r="D4" s="1" t="s">
        <v>25</v>
      </c>
      <c r="E4" s="1" t="s">
        <v>26</v>
      </c>
      <c r="G4" s="1" t="s">
        <v>24</v>
      </c>
      <c r="H4" s="1" t="s">
        <v>25</v>
      </c>
      <c r="I4" s="1" t="s">
        <v>26</v>
      </c>
    </row>
    <row r="5">
      <c r="C5" s="1" t="s">
        <v>17</v>
      </c>
      <c r="D5" s="3">
        <f>Newyse!G2</f>
        <v>0</v>
      </c>
      <c r="E5" s="3">
        <f>countif(Newyse!L:L,$E$2)</f>
        <v>0</v>
      </c>
      <c r="G5" s="1" t="s">
        <v>17</v>
      </c>
      <c r="H5" s="3">
        <f t="shared" ref="H5:I5" si="1">D5</f>
        <v>0</v>
      </c>
      <c r="I5" s="3">
        <f t="shared" si="1"/>
        <v>0</v>
      </c>
    </row>
    <row r="6">
      <c r="C6" s="1" t="s">
        <v>18</v>
      </c>
      <c r="D6" s="3">
        <f>CMS!G2</f>
        <v>22</v>
      </c>
      <c r="E6" s="3">
        <f>countif(CMS!L:L,$F$2)</f>
        <v>0</v>
      </c>
      <c r="G6" s="1" t="s">
        <v>18</v>
      </c>
      <c r="H6" s="3">
        <f t="shared" ref="H6:I6" si="2">D6</f>
        <v>22</v>
      </c>
      <c r="I6" s="3">
        <f t="shared" si="2"/>
        <v>0</v>
      </c>
    </row>
    <row r="7">
      <c r="C7" s="1" t="s">
        <v>20</v>
      </c>
      <c r="D7" s="3">
        <f>MCMS!G2</f>
        <v>86</v>
      </c>
      <c r="E7" s="3">
        <f>countif(MCMS!L:L,$H$2)</f>
        <v>0</v>
      </c>
      <c r="G7" s="1" t="s">
        <v>20</v>
      </c>
      <c r="H7" s="3">
        <f t="shared" ref="H7:I7" si="3">D7</f>
        <v>86</v>
      </c>
      <c r="I7" s="3">
        <f t="shared" si="3"/>
        <v>0</v>
      </c>
    </row>
    <row r="8">
      <c r="C8" s="1" t="s">
        <v>27</v>
      </c>
      <c r="D8" s="3">
        <f>Rates!G2</f>
        <v>10</v>
      </c>
      <c r="E8" s="3">
        <f>countif(Rates!L:L,$G$2)</f>
        <v>0</v>
      </c>
      <c r="G8" s="1" t="s">
        <v>19</v>
      </c>
      <c r="H8" s="3">
        <f t="shared" ref="H8:I8" si="4">sum(D8:D16)</f>
        <v>199</v>
      </c>
      <c r="I8" s="3">
        <f t="shared" si="4"/>
        <v>0</v>
      </c>
    </row>
    <row r="9">
      <c r="C9" s="1" t="s">
        <v>28</v>
      </c>
      <c r="D9" s="3">
        <f>Finance!G2</f>
        <v>11</v>
      </c>
      <c r="E9" s="3">
        <f>countif(Finance!L:L,$G$2)</f>
        <v>0</v>
      </c>
    </row>
    <row r="10">
      <c r="C10" s="1" t="s">
        <v>29</v>
      </c>
      <c r="D10" s="3">
        <f>Operations!G2</f>
        <v>27</v>
      </c>
      <c r="E10" s="3">
        <f>countif(Operations!L:L,$G$2)</f>
        <v>0</v>
      </c>
    </row>
    <row r="11">
      <c r="C11" s="1" t="s">
        <v>30</v>
      </c>
      <c r="D11" s="3">
        <f>Channel!G2</f>
        <v>17</v>
      </c>
      <c r="E11" s="3">
        <f>countif(Channel!L:L,$G$2)</f>
        <v>0</v>
      </c>
    </row>
    <row r="12">
      <c r="C12" s="1" t="s">
        <v>31</v>
      </c>
      <c r="D12" s="3">
        <f>Revenue!G2</f>
        <v>9</v>
      </c>
      <c r="E12" s="3">
        <f>countif(Revenue!L:L,$G$2)</f>
        <v>0</v>
      </c>
    </row>
    <row r="13">
      <c r="C13" s="1" t="s">
        <v>32</v>
      </c>
      <c r="D13" s="3">
        <f>Reservations!G2</f>
        <v>35</v>
      </c>
      <c r="E13" s="3">
        <f>countif(Reservations!L:L,$G$2)</f>
        <v>0</v>
      </c>
    </row>
    <row r="14">
      <c r="C14" s="1" t="s">
        <v>33</v>
      </c>
      <c r="D14" s="3">
        <f>API!G2</f>
        <v>43</v>
      </c>
      <c r="E14" s="3">
        <f>countif(API!L:L,$G$2)</f>
        <v>0</v>
      </c>
    </row>
    <row r="15">
      <c r="C15" s="1" t="s">
        <v>34</v>
      </c>
      <c r="D15" s="3">
        <f>CCM!G2</f>
        <v>22</v>
      </c>
      <c r="E15" s="3">
        <f>countif(CCM!L:L,$G$2)</f>
        <v>0</v>
      </c>
    </row>
    <row r="16">
      <c r="C16" s="1" t="s">
        <v>35</v>
      </c>
      <c r="D16" s="3">
        <f>Content!G2</f>
        <v>25</v>
      </c>
      <c r="E16" s="3">
        <f>countif(Content!L:L,$G$2)</f>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6.38"/>
    <col customWidth="1" min="3" max="3" width="7.25"/>
    <col customWidth="1" min="4" max="4" width="20.5"/>
    <col customWidth="1" min="5" max="5" width="9.13"/>
    <col customWidth="1" min="6" max="6" width="18.63"/>
    <col customWidth="1" min="7" max="7" width="8.75"/>
    <col customWidth="1" min="8" max="8" width="11.0"/>
    <col customWidth="1" min="9" max="9" width="9.75"/>
    <col customWidth="1" min="10" max="10" width="12.63"/>
    <col customWidth="1" min="11" max="11" width="10.88"/>
    <col customWidth="1" min="12" max="12" width="31.13"/>
    <col customWidth="1" min="14" max="14" width="24.88"/>
    <col customWidth="1" min="15" max="15" width="5.75"/>
    <col customWidth="1" min="16" max="16" width="23.25"/>
  </cols>
  <sheetData>
    <row r="1">
      <c r="J1" s="8"/>
      <c r="N1" s="9" t="s">
        <v>36</v>
      </c>
      <c r="O1" s="10" t="s">
        <v>37</v>
      </c>
      <c r="P1" s="11"/>
    </row>
    <row r="2">
      <c r="A2" s="8"/>
      <c r="B2" s="8"/>
      <c r="E2" s="8"/>
      <c r="F2" s="12" t="s">
        <v>25</v>
      </c>
      <c r="G2" s="1">
        <f>countifs(A:A,"&lt;&gt;NEW",A:A,"&lt;&gt;")-1</f>
        <v>0</v>
      </c>
      <c r="I2" s="8"/>
      <c r="J2" s="8"/>
      <c r="N2" s="13" t="s">
        <v>38</v>
      </c>
      <c r="O2" s="14" t="s">
        <v>39</v>
      </c>
      <c r="P2" s="15" t="s">
        <v>40</v>
      </c>
    </row>
    <row r="3">
      <c r="A3" s="8"/>
      <c r="B3" s="8"/>
      <c r="D3" s="16"/>
      <c r="E3" s="8"/>
      <c r="F3" s="17" t="s">
        <v>41</v>
      </c>
      <c r="G3" s="18">
        <f>countif(H:H,"=Y")</f>
        <v>0</v>
      </c>
      <c r="H3" s="8"/>
      <c r="I3" s="8"/>
      <c r="J3" s="8"/>
      <c r="N3" s="13" t="s">
        <v>42</v>
      </c>
      <c r="O3" s="14" t="s">
        <v>43</v>
      </c>
      <c r="P3" s="15" t="s">
        <v>44</v>
      </c>
    </row>
    <row r="4">
      <c r="A4" s="8"/>
      <c r="B4" s="8"/>
      <c r="E4" s="8"/>
      <c r="F4" s="17" t="s">
        <v>45</v>
      </c>
      <c r="G4" s="18">
        <f>COUNTIF(A:A,"=NEW")</f>
        <v>0</v>
      </c>
      <c r="H4" s="8"/>
      <c r="I4" s="8"/>
      <c r="J4" s="8"/>
      <c r="N4" s="13" t="s">
        <v>46</v>
      </c>
      <c r="O4" s="14" t="s">
        <v>47</v>
      </c>
      <c r="P4" s="15" t="s">
        <v>48</v>
      </c>
    </row>
    <row r="5">
      <c r="A5" s="8"/>
      <c r="B5" s="8"/>
      <c r="C5" s="8"/>
      <c r="D5" s="8"/>
      <c r="E5" s="8"/>
      <c r="F5" s="8"/>
      <c r="G5" s="8"/>
      <c r="H5" s="8"/>
      <c r="I5" s="8"/>
      <c r="J5" s="8"/>
      <c r="N5" s="13" t="s">
        <v>49</v>
      </c>
      <c r="O5" s="14" t="s">
        <v>50</v>
      </c>
      <c r="P5" s="15" t="s">
        <v>51</v>
      </c>
    </row>
    <row r="6">
      <c r="A6" s="1" t="s">
        <v>52</v>
      </c>
      <c r="B6" s="1" t="s">
        <v>53</v>
      </c>
      <c r="C6" s="1" t="s">
        <v>54</v>
      </c>
      <c r="D6" s="1" t="s">
        <v>55</v>
      </c>
      <c r="E6" s="1" t="s">
        <v>56</v>
      </c>
      <c r="F6" s="1" t="s">
        <v>57</v>
      </c>
      <c r="G6" s="1" t="s">
        <v>58</v>
      </c>
      <c r="H6" s="18" t="s">
        <v>59</v>
      </c>
      <c r="I6" s="18" t="s">
        <v>60</v>
      </c>
      <c r="J6" s="18" t="s">
        <v>61</v>
      </c>
      <c r="K6" s="18" t="s">
        <v>62</v>
      </c>
      <c r="L6" s="18" t="s">
        <v>63</v>
      </c>
      <c r="N6" s="13" t="s">
        <v>64</v>
      </c>
      <c r="O6" s="14" t="s">
        <v>65</v>
      </c>
      <c r="P6" s="15" t="s">
        <v>66</v>
      </c>
    </row>
    <row r="7">
      <c r="A7" s="19"/>
      <c r="B7" s="19"/>
      <c r="C7" s="19"/>
      <c r="D7" s="19"/>
      <c r="E7" s="19"/>
      <c r="F7" s="19"/>
      <c r="G7" s="19"/>
      <c r="H7" s="19"/>
      <c r="I7" s="19"/>
      <c r="J7" s="19"/>
      <c r="K7" s="19"/>
      <c r="L7" s="19"/>
      <c r="N7" s="14" t="s">
        <v>67</v>
      </c>
      <c r="O7" s="20" t="s">
        <v>68</v>
      </c>
      <c r="P7" s="20" t="s">
        <v>69</v>
      </c>
    </row>
    <row r="8">
      <c r="A8" s="19"/>
      <c r="B8" s="19"/>
      <c r="C8" s="19"/>
      <c r="D8" s="19"/>
      <c r="E8" s="19"/>
      <c r="F8" s="19"/>
      <c r="G8" s="19"/>
      <c r="H8" s="19"/>
      <c r="I8" s="19"/>
      <c r="J8" s="21"/>
      <c r="K8" s="19"/>
      <c r="L8" s="19"/>
      <c r="N8" s="14" t="s">
        <v>70</v>
      </c>
      <c r="O8" s="20" t="s">
        <v>71</v>
      </c>
      <c r="P8" s="20" t="s">
        <v>72</v>
      </c>
    </row>
    <row r="9">
      <c r="A9" s="19"/>
      <c r="B9" s="19"/>
      <c r="C9" s="19"/>
      <c r="D9" s="19"/>
      <c r="E9" s="19"/>
      <c r="F9" s="19"/>
      <c r="G9" s="19"/>
      <c r="H9" s="19"/>
      <c r="I9" s="19"/>
      <c r="J9" s="21"/>
      <c r="K9" s="19"/>
      <c r="L9" s="19"/>
      <c r="N9" s="14" t="s">
        <v>73</v>
      </c>
      <c r="O9" s="20" t="s">
        <v>74</v>
      </c>
      <c r="P9" s="20" t="s">
        <v>75</v>
      </c>
    </row>
    <row r="10">
      <c r="A10" s="19"/>
      <c r="B10" s="19"/>
      <c r="C10" s="19"/>
      <c r="D10" s="19"/>
      <c r="E10" s="19"/>
      <c r="F10" s="19"/>
      <c r="G10" s="19"/>
      <c r="H10" s="19"/>
      <c r="I10" s="19"/>
      <c r="J10" s="21"/>
      <c r="K10" s="19"/>
      <c r="L10" s="19"/>
      <c r="N10" s="14" t="s">
        <v>76</v>
      </c>
      <c r="O10" s="20"/>
      <c r="P10" s="20"/>
    </row>
    <row r="11">
      <c r="A11" s="19"/>
      <c r="B11" s="19"/>
      <c r="C11" s="19"/>
      <c r="D11" s="19"/>
      <c r="E11" s="19"/>
      <c r="F11" s="19"/>
      <c r="G11" s="19"/>
      <c r="H11" s="19"/>
      <c r="I11" s="19"/>
      <c r="J11" s="21"/>
      <c r="K11" s="19"/>
      <c r="L11" s="19"/>
      <c r="N11" s="14" t="s">
        <v>77</v>
      </c>
      <c r="O11" s="20"/>
      <c r="P11" s="20"/>
    </row>
    <row r="12">
      <c r="A12" s="19"/>
      <c r="B12" s="19"/>
      <c r="C12" s="19"/>
      <c r="D12" s="19"/>
      <c r="E12" s="19"/>
      <c r="F12" s="19"/>
      <c r="G12" s="21"/>
      <c r="H12" s="21"/>
      <c r="I12" s="21"/>
      <c r="J12" s="21"/>
      <c r="K12" s="21"/>
      <c r="L12" s="21"/>
      <c r="N12" s="14" t="s">
        <v>78</v>
      </c>
      <c r="O12" s="20"/>
      <c r="P12" s="20"/>
    </row>
    <row r="13">
      <c r="A13" s="19"/>
      <c r="B13" s="19"/>
      <c r="C13" s="19"/>
      <c r="D13" s="19"/>
      <c r="E13" s="19"/>
      <c r="F13" s="19"/>
      <c r="G13" s="21"/>
      <c r="H13" s="21"/>
      <c r="I13" s="21"/>
      <c r="J13" s="21"/>
      <c r="K13" s="21"/>
      <c r="L13" s="21"/>
      <c r="N13" s="14" t="s">
        <v>79</v>
      </c>
      <c r="O13" s="20"/>
      <c r="P13" s="20"/>
    </row>
    <row r="14">
      <c r="A14" s="19"/>
      <c r="B14" s="19"/>
      <c r="C14" s="19"/>
      <c r="D14" s="19"/>
      <c r="E14" s="19"/>
      <c r="F14" s="19"/>
      <c r="G14" s="21"/>
      <c r="H14" s="21"/>
      <c r="I14" s="21"/>
      <c r="J14" s="21"/>
      <c r="K14" s="21"/>
      <c r="L14" s="21"/>
      <c r="N14" s="14" t="s">
        <v>80</v>
      </c>
      <c r="O14" s="20"/>
      <c r="P14" s="20"/>
    </row>
    <row r="15">
      <c r="A15" s="21"/>
      <c r="B15" s="21"/>
      <c r="C15" s="21"/>
      <c r="D15" s="21"/>
      <c r="E15" s="21"/>
      <c r="F15" s="19"/>
      <c r="G15" s="21"/>
      <c r="H15" s="21"/>
      <c r="I15" s="21"/>
      <c r="J15" s="21"/>
      <c r="K15" s="21"/>
      <c r="L15" s="21"/>
      <c r="N15" s="14" t="s">
        <v>81</v>
      </c>
      <c r="O15" s="20"/>
      <c r="P15" s="20"/>
    </row>
    <row r="16">
      <c r="A16" s="21"/>
      <c r="B16" s="21"/>
      <c r="C16" s="21"/>
      <c r="D16" s="21"/>
      <c r="E16" s="21"/>
      <c r="F16" s="19"/>
      <c r="G16" s="21"/>
      <c r="H16" s="21"/>
      <c r="I16" s="21"/>
      <c r="J16" s="21"/>
      <c r="K16" s="21"/>
      <c r="L16" s="21"/>
      <c r="N16" s="14" t="s">
        <v>82</v>
      </c>
      <c r="O16" s="20"/>
      <c r="P16" s="20"/>
    </row>
    <row r="17">
      <c r="A17" s="21"/>
      <c r="B17" s="21"/>
      <c r="C17" s="21"/>
      <c r="D17" s="21"/>
      <c r="E17" s="21"/>
      <c r="F17" s="19"/>
      <c r="G17" s="21"/>
      <c r="H17" s="21"/>
      <c r="I17" s="21"/>
      <c r="J17" s="19"/>
      <c r="K17" s="21"/>
      <c r="L17" s="21"/>
      <c r="N17" s="14" t="s">
        <v>83</v>
      </c>
      <c r="O17" s="20"/>
      <c r="P17" s="20"/>
    </row>
    <row r="18">
      <c r="A18" s="21"/>
      <c r="B18" s="21"/>
      <c r="C18" s="21"/>
      <c r="D18" s="21"/>
      <c r="E18" s="21"/>
      <c r="F18" s="19"/>
      <c r="G18" s="21"/>
      <c r="H18" s="21"/>
      <c r="I18" s="21"/>
      <c r="J18" s="21"/>
      <c r="K18" s="21"/>
      <c r="L18" s="21"/>
      <c r="N18" s="14" t="s">
        <v>84</v>
      </c>
      <c r="O18" s="20"/>
      <c r="P18" s="20"/>
    </row>
    <row r="19">
      <c r="A19" s="21"/>
      <c r="B19" s="21"/>
      <c r="C19" s="21"/>
      <c r="D19" s="21"/>
      <c r="E19" s="21"/>
      <c r="F19" s="19"/>
      <c r="G19" s="21"/>
      <c r="H19" s="21"/>
      <c r="I19" s="21"/>
      <c r="J19" s="21"/>
      <c r="K19" s="21"/>
      <c r="L19" s="21"/>
      <c r="N19" s="14" t="s">
        <v>85</v>
      </c>
      <c r="O19" s="20"/>
      <c r="P19" s="20"/>
    </row>
    <row r="20">
      <c r="A20" s="21"/>
      <c r="B20" s="21"/>
      <c r="C20" s="21"/>
      <c r="D20" s="21"/>
      <c r="E20" s="21"/>
      <c r="F20" s="19"/>
      <c r="G20" s="21"/>
      <c r="H20" s="21"/>
      <c r="I20" s="21"/>
      <c r="J20" s="21"/>
      <c r="K20" s="21"/>
      <c r="L20" s="21"/>
      <c r="N20" s="14" t="s">
        <v>86</v>
      </c>
      <c r="O20" s="20"/>
      <c r="P20" s="20"/>
    </row>
    <row r="21">
      <c r="A21" s="21"/>
      <c r="B21" s="21"/>
      <c r="C21" s="21"/>
      <c r="D21" s="21"/>
      <c r="E21" s="21"/>
      <c r="F21" s="19"/>
      <c r="G21" s="21"/>
      <c r="H21" s="21"/>
      <c r="I21" s="21"/>
      <c r="J21" s="21"/>
      <c r="K21" s="21"/>
      <c r="L21" s="21"/>
      <c r="N21" s="14" t="s">
        <v>87</v>
      </c>
      <c r="O21" s="20"/>
      <c r="P21" s="20"/>
    </row>
    <row r="22">
      <c r="A22" s="21"/>
      <c r="B22" s="21"/>
      <c r="C22" s="21"/>
      <c r="D22" s="21"/>
      <c r="E22" s="21"/>
      <c r="F22" s="19"/>
      <c r="G22" s="21"/>
      <c r="H22" s="21"/>
      <c r="I22" s="21"/>
      <c r="J22" s="21"/>
      <c r="K22" s="21"/>
      <c r="L22" s="21"/>
      <c r="N22" s="14" t="s">
        <v>88</v>
      </c>
      <c r="O22" s="20"/>
      <c r="P22" s="20"/>
    </row>
    <row r="23">
      <c r="A23" s="21"/>
      <c r="B23" s="21"/>
      <c r="C23" s="21"/>
      <c r="D23" s="21"/>
      <c r="E23" s="21"/>
      <c r="F23" s="19"/>
      <c r="G23" s="21"/>
      <c r="H23" s="21"/>
      <c r="I23" s="21"/>
      <c r="J23" s="21"/>
      <c r="K23" s="21"/>
      <c r="L23" s="21"/>
      <c r="N23" s="14" t="s">
        <v>89</v>
      </c>
      <c r="O23" s="20"/>
      <c r="P23" s="20"/>
    </row>
    <row r="24">
      <c r="A24" s="21"/>
      <c r="B24" s="21"/>
      <c r="C24" s="21"/>
      <c r="D24" s="21"/>
      <c r="E24" s="21"/>
      <c r="F24" s="19"/>
      <c r="G24" s="21"/>
      <c r="H24" s="21"/>
      <c r="I24" s="21"/>
      <c r="J24" s="21"/>
      <c r="K24" s="21"/>
      <c r="L24" s="21"/>
      <c r="N24" s="22" t="s">
        <v>90</v>
      </c>
      <c r="O24" s="20"/>
      <c r="P24" s="20"/>
    </row>
    <row r="25">
      <c r="A25" s="21"/>
      <c r="B25" s="21"/>
      <c r="C25" s="21"/>
      <c r="D25" s="21"/>
      <c r="E25" s="21"/>
      <c r="F25" s="19"/>
      <c r="G25" s="21"/>
      <c r="H25" s="21"/>
      <c r="I25" s="21"/>
      <c r="J25" s="21"/>
      <c r="K25" s="21"/>
      <c r="L25" s="21"/>
      <c r="N25" s="22" t="s">
        <v>91</v>
      </c>
      <c r="O25" s="20"/>
      <c r="P25" s="20"/>
    </row>
    <row r="26">
      <c r="A26" s="21"/>
      <c r="B26" s="21"/>
      <c r="C26" s="21"/>
      <c r="D26" s="21"/>
      <c r="E26" s="21"/>
      <c r="F26" s="19"/>
      <c r="G26" s="21"/>
      <c r="H26" s="21"/>
      <c r="I26" s="21"/>
      <c r="J26" s="21"/>
      <c r="K26" s="21"/>
      <c r="L26" s="21"/>
      <c r="N26" s="23" t="s">
        <v>92</v>
      </c>
      <c r="O26" s="20"/>
      <c r="P26" s="20"/>
    </row>
    <row r="27">
      <c r="A27" s="21"/>
      <c r="B27" s="21"/>
      <c r="C27" s="21"/>
      <c r="D27" s="21"/>
      <c r="E27" s="21"/>
      <c r="F27" s="19"/>
      <c r="G27" s="21"/>
      <c r="H27" s="21"/>
      <c r="I27" s="21"/>
      <c r="J27" s="21"/>
      <c r="K27" s="21"/>
      <c r="L27" s="21"/>
    </row>
    <row r="28">
      <c r="A28" s="21"/>
      <c r="B28" s="21"/>
      <c r="C28" s="21"/>
      <c r="D28" s="21"/>
      <c r="E28" s="21"/>
      <c r="F28" s="19"/>
      <c r="G28" s="21"/>
      <c r="H28" s="21"/>
      <c r="I28" s="21"/>
      <c r="J28" s="21"/>
      <c r="K28" s="21"/>
      <c r="L28" s="21"/>
    </row>
    <row r="29">
      <c r="A29" s="21"/>
      <c r="B29" s="21"/>
      <c r="C29" s="21"/>
      <c r="D29" s="21"/>
      <c r="E29" s="21"/>
      <c r="F29" s="21"/>
      <c r="G29" s="21"/>
      <c r="H29" s="21"/>
      <c r="I29" s="21"/>
      <c r="J29" s="21"/>
      <c r="K29" s="21"/>
      <c r="L29" s="21"/>
    </row>
    <row r="30">
      <c r="A30" s="21"/>
      <c r="B30" s="21"/>
      <c r="C30" s="21"/>
      <c r="D30" s="21"/>
      <c r="E30" s="21"/>
      <c r="F30" s="21"/>
      <c r="G30" s="21"/>
      <c r="H30" s="21"/>
      <c r="I30" s="21"/>
      <c r="J30" s="21"/>
      <c r="K30" s="21"/>
      <c r="L30" s="21"/>
    </row>
    <row r="31">
      <c r="A31" s="21"/>
      <c r="B31" s="21"/>
      <c r="C31" s="21"/>
      <c r="D31" s="21"/>
      <c r="E31" s="21"/>
      <c r="F31" s="21"/>
      <c r="G31" s="21"/>
      <c r="H31" s="21"/>
      <c r="I31" s="21"/>
      <c r="J31" s="21"/>
      <c r="K31" s="21"/>
      <c r="L31" s="21"/>
    </row>
    <row r="32">
      <c r="A32" s="21"/>
      <c r="B32" s="21"/>
      <c r="C32" s="21"/>
      <c r="D32" s="21"/>
      <c r="E32" s="21"/>
      <c r="F32" s="21"/>
      <c r="G32" s="21"/>
      <c r="H32" s="21"/>
      <c r="I32" s="21"/>
      <c r="J32" s="21"/>
      <c r="K32" s="21"/>
      <c r="L32" s="21"/>
    </row>
    <row r="33">
      <c r="A33" s="21"/>
      <c r="B33" s="21"/>
      <c r="C33" s="21"/>
      <c r="D33" s="21"/>
      <c r="E33" s="21"/>
      <c r="F33" s="21"/>
      <c r="G33" s="21"/>
      <c r="H33" s="21"/>
      <c r="I33" s="21"/>
      <c r="J33" s="21"/>
      <c r="K33" s="21"/>
      <c r="L33" s="21"/>
    </row>
    <row r="34">
      <c r="A34" s="21"/>
      <c r="B34" s="21"/>
      <c r="C34" s="21"/>
      <c r="D34" s="21"/>
      <c r="E34" s="21"/>
      <c r="F34" s="21"/>
      <c r="G34" s="21"/>
      <c r="H34" s="21"/>
      <c r="I34" s="21"/>
      <c r="J34" s="21"/>
      <c r="K34" s="21"/>
      <c r="L34" s="21"/>
    </row>
    <row r="35">
      <c r="A35" s="21"/>
      <c r="B35" s="21"/>
      <c r="C35" s="21"/>
      <c r="D35" s="21"/>
      <c r="E35" s="21"/>
      <c r="F35" s="21"/>
      <c r="G35" s="21"/>
      <c r="H35" s="21"/>
      <c r="I35" s="21"/>
      <c r="J35" s="21"/>
      <c r="K35" s="21"/>
      <c r="L35" s="21"/>
    </row>
    <row r="36">
      <c r="A36" s="21"/>
      <c r="B36" s="21"/>
      <c r="C36" s="21"/>
      <c r="D36" s="21"/>
      <c r="E36" s="21"/>
      <c r="F36" s="21"/>
      <c r="G36" s="21"/>
      <c r="H36" s="21"/>
      <c r="I36" s="21"/>
      <c r="J36" s="21"/>
      <c r="K36" s="21"/>
      <c r="L36" s="21"/>
    </row>
    <row r="37">
      <c r="A37" s="21"/>
      <c r="B37" s="21"/>
      <c r="C37" s="21"/>
      <c r="D37" s="21"/>
      <c r="E37" s="21"/>
      <c r="F37" s="21"/>
      <c r="G37" s="21"/>
      <c r="H37" s="21"/>
      <c r="I37" s="21"/>
      <c r="J37" s="21"/>
      <c r="K37" s="21"/>
      <c r="L37" s="21"/>
    </row>
    <row r="38">
      <c r="A38" s="21"/>
      <c r="B38" s="21"/>
      <c r="C38" s="21"/>
      <c r="D38" s="21"/>
      <c r="E38" s="21"/>
      <c r="F38" s="21"/>
      <c r="G38" s="21"/>
      <c r="H38" s="21"/>
      <c r="I38" s="21"/>
      <c r="J38" s="21"/>
      <c r="K38" s="21"/>
      <c r="L38" s="21"/>
    </row>
    <row r="39">
      <c r="A39" s="21"/>
      <c r="B39" s="21"/>
      <c r="C39" s="21"/>
      <c r="D39" s="21"/>
      <c r="E39" s="21"/>
      <c r="F39" s="21"/>
      <c r="G39" s="21"/>
      <c r="H39" s="21"/>
      <c r="I39" s="21"/>
      <c r="J39" s="21"/>
      <c r="K39" s="21"/>
      <c r="L39" s="21"/>
    </row>
    <row r="40">
      <c r="A40" s="21"/>
      <c r="B40" s="21"/>
      <c r="C40" s="21"/>
      <c r="D40" s="21"/>
      <c r="E40" s="21"/>
      <c r="F40" s="21"/>
      <c r="G40" s="21"/>
      <c r="H40" s="21"/>
      <c r="I40" s="21"/>
      <c r="J40" s="21"/>
      <c r="K40" s="21"/>
      <c r="L40" s="21"/>
    </row>
    <row r="41">
      <c r="A41" s="21"/>
      <c r="B41" s="21"/>
      <c r="C41" s="21"/>
      <c r="D41" s="21"/>
      <c r="E41" s="21"/>
      <c r="F41" s="21"/>
      <c r="G41" s="21"/>
      <c r="H41" s="21"/>
      <c r="I41" s="21"/>
      <c r="J41" s="21"/>
      <c r="K41" s="21"/>
      <c r="L41" s="21"/>
    </row>
    <row r="42">
      <c r="A42" s="21"/>
      <c r="B42" s="21"/>
      <c r="C42" s="21"/>
      <c r="D42" s="21"/>
      <c r="E42" s="21"/>
      <c r="F42" s="21"/>
      <c r="G42" s="21"/>
      <c r="H42" s="21"/>
      <c r="I42" s="21"/>
      <c r="J42" s="21"/>
      <c r="K42" s="21"/>
      <c r="L42" s="21"/>
    </row>
    <row r="43">
      <c r="A43" s="21"/>
      <c r="B43" s="21"/>
      <c r="C43" s="21"/>
      <c r="D43" s="21"/>
      <c r="E43" s="21"/>
      <c r="F43" s="21"/>
      <c r="G43" s="21"/>
      <c r="H43" s="21"/>
      <c r="I43" s="21"/>
      <c r="J43" s="21"/>
      <c r="K43" s="21"/>
      <c r="L43" s="21"/>
    </row>
    <row r="44">
      <c r="A44" s="21"/>
      <c r="B44" s="21"/>
      <c r="C44" s="21"/>
      <c r="D44" s="21"/>
      <c r="E44" s="21"/>
      <c r="F44" s="21"/>
      <c r="G44" s="21"/>
      <c r="H44" s="21"/>
      <c r="I44" s="21"/>
      <c r="J44" s="21"/>
      <c r="K44" s="21"/>
      <c r="L44" s="21"/>
    </row>
    <row r="45">
      <c r="A45" s="21"/>
      <c r="B45" s="21"/>
      <c r="C45" s="21"/>
      <c r="D45" s="21"/>
      <c r="E45" s="21"/>
      <c r="F45" s="21"/>
      <c r="G45" s="21"/>
      <c r="H45" s="21"/>
      <c r="I45" s="21"/>
      <c r="J45" s="21"/>
      <c r="K45" s="21"/>
      <c r="L45" s="21"/>
    </row>
    <row r="46">
      <c r="A46" s="21"/>
      <c r="B46" s="21"/>
      <c r="C46" s="21"/>
      <c r="D46" s="21"/>
      <c r="E46" s="21"/>
      <c r="F46" s="21"/>
      <c r="G46" s="21"/>
      <c r="H46" s="21"/>
      <c r="I46" s="21"/>
      <c r="J46" s="21"/>
      <c r="K46" s="21"/>
      <c r="L46" s="21"/>
    </row>
    <row r="47">
      <c r="A47" s="21"/>
      <c r="B47" s="21"/>
      <c r="C47" s="21"/>
      <c r="D47" s="21"/>
      <c r="E47" s="21"/>
      <c r="F47" s="21"/>
      <c r="G47" s="21"/>
      <c r="H47" s="21"/>
      <c r="I47" s="21"/>
      <c r="J47" s="21"/>
      <c r="K47" s="21"/>
      <c r="L47" s="21"/>
    </row>
    <row r="48">
      <c r="A48" s="21"/>
      <c r="B48" s="21"/>
      <c r="C48" s="21"/>
      <c r="D48" s="21"/>
      <c r="E48" s="21"/>
      <c r="F48" s="21"/>
      <c r="G48" s="21"/>
      <c r="H48" s="21"/>
      <c r="I48" s="21"/>
      <c r="J48" s="21"/>
      <c r="K48" s="21"/>
      <c r="L48" s="21"/>
    </row>
    <row r="49">
      <c r="A49" s="21"/>
      <c r="B49" s="21"/>
      <c r="C49" s="21"/>
      <c r="D49" s="21"/>
      <c r="E49" s="21"/>
      <c r="F49" s="21"/>
      <c r="G49" s="21"/>
      <c r="H49" s="21"/>
      <c r="I49" s="21"/>
      <c r="J49" s="21"/>
      <c r="K49" s="21"/>
      <c r="L49" s="21"/>
    </row>
    <row r="50">
      <c r="A50" s="21"/>
      <c r="B50" s="21"/>
      <c r="C50" s="21"/>
      <c r="D50" s="21"/>
      <c r="E50" s="21"/>
      <c r="F50" s="21"/>
      <c r="G50" s="21"/>
      <c r="H50" s="21"/>
      <c r="I50" s="21"/>
      <c r="J50" s="21"/>
      <c r="K50" s="21"/>
      <c r="L50" s="21"/>
    </row>
    <row r="51">
      <c r="A51" s="21"/>
      <c r="B51" s="21"/>
      <c r="C51" s="21"/>
      <c r="D51" s="21"/>
      <c r="E51" s="21"/>
      <c r="F51" s="21"/>
      <c r="G51" s="21"/>
      <c r="H51" s="21"/>
      <c r="I51" s="21"/>
      <c r="J51" s="21"/>
      <c r="K51" s="21"/>
      <c r="L51" s="21"/>
    </row>
    <row r="52">
      <c r="A52" s="21"/>
      <c r="B52" s="21"/>
      <c r="C52" s="21"/>
      <c r="D52" s="21"/>
      <c r="E52" s="21"/>
      <c r="F52" s="21"/>
      <c r="G52" s="21"/>
      <c r="H52" s="21"/>
      <c r="I52" s="21"/>
      <c r="J52" s="21"/>
      <c r="K52" s="21"/>
      <c r="L52" s="21"/>
    </row>
    <row r="53">
      <c r="A53" s="21"/>
      <c r="B53" s="21"/>
      <c r="C53" s="21"/>
      <c r="D53" s="21"/>
      <c r="E53" s="21"/>
      <c r="F53" s="21"/>
      <c r="G53" s="21"/>
      <c r="H53" s="21"/>
      <c r="I53" s="21"/>
      <c r="J53" s="21"/>
      <c r="K53" s="21"/>
      <c r="L53" s="21"/>
    </row>
    <row r="54">
      <c r="A54" s="21"/>
      <c r="B54" s="21"/>
      <c r="C54" s="21"/>
      <c r="D54" s="21"/>
      <c r="E54" s="21"/>
      <c r="F54" s="21"/>
      <c r="G54" s="21"/>
      <c r="H54" s="21"/>
      <c r="I54" s="21"/>
      <c r="J54" s="21"/>
      <c r="K54" s="21"/>
      <c r="L54" s="21"/>
    </row>
    <row r="55">
      <c r="A55" s="21"/>
      <c r="B55" s="21"/>
      <c r="C55" s="21"/>
      <c r="D55" s="21"/>
      <c r="E55" s="21"/>
      <c r="F55" s="21"/>
      <c r="G55" s="21"/>
      <c r="H55" s="21"/>
      <c r="I55" s="21"/>
      <c r="J55" s="21"/>
      <c r="K55" s="21"/>
      <c r="L55" s="21"/>
    </row>
    <row r="56">
      <c r="A56" s="21"/>
      <c r="B56" s="21"/>
      <c r="C56" s="21"/>
      <c r="D56" s="21"/>
      <c r="E56" s="21"/>
      <c r="F56" s="21"/>
      <c r="G56" s="21"/>
      <c r="H56" s="21"/>
      <c r="I56" s="21"/>
      <c r="J56" s="21"/>
      <c r="K56" s="21"/>
      <c r="L56" s="21"/>
    </row>
    <row r="57">
      <c r="A57" s="21"/>
      <c r="B57" s="21"/>
      <c r="C57" s="21"/>
      <c r="D57" s="21"/>
      <c r="E57" s="21"/>
      <c r="F57" s="21"/>
      <c r="G57" s="21"/>
      <c r="H57" s="21"/>
      <c r="I57" s="21"/>
      <c r="J57" s="21"/>
      <c r="K57" s="21"/>
      <c r="L57" s="21"/>
    </row>
    <row r="58">
      <c r="A58" s="21"/>
      <c r="B58" s="21"/>
      <c r="C58" s="21"/>
      <c r="D58" s="21"/>
      <c r="E58" s="21"/>
      <c r="F58" s="21"/>
      <c r="G58" s="21"/>
      <c r="H58" s="21"/>
      <c r="I58" s="21"/>
      <c r="J58" s="21"/>
      <c r="K58" s="21"/>
      <c r="L58" s="21"/>
    </row>
    <row r="59">
      <c r="A59" s="21"/>
      <c r="B59" s="21"/>
      <c r="C59" s="21"/>
      <c r="D59" s="21"/>
      <c r="E59" s="21"/>
      <c r="F59" s="21"/>
      <c r="G59" s="21"/>
      <c r="H59" s="21"/>
      <c r="I59" s="21"/>
      <c r="J59" s="21"/>
      <c r="K59" s="21"/>
      <c r="L59" s="21"/>
    </row>
    <row r="60">
      <c r="A60" s="21"/>
      <c r="B60" s="21"/>
      <c r="C60" s="21"/>
      <c r="D60" s="21"/>
      <c r="E60" s="21"/>
      <c r="F60" s="21"/>
      <c r="G60" s="21"/>
      <c r="H60" s="21"/>
      <c r="I60" s="21"/>
      <c r="J60" s="21"/>
      <c r="K60" s="21"/>
      <c r="L60" s="21"/>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row r="988">
      <c r="C988" s="24"/>
      <c r="F988" s="24"/>
      <c r="H988" s="24"/>
      <c r="I988" s="24"/>
      <c r="J988" s="24"/>
    </row>
    <row r="989">
      <c r="C989" s="24"/>
      <c r="F989" s="24"/>
      <c r="H989" s="24"/>
      <c r="I989" s="24"/>
      <c r="J989" s="24"/>
    </row>
    <row r="990">
      <c r="C990" s="24"/>
      <c r="F990" s="24"/>
      <c r="H990" s="24"/>
      <c r="I990" s="24"/>
      <c r="J990" s="24"/>
    </row>
    <row r="991">
      <c r="C991" s="24"/>
      <c r="F991" s="24"/>
      <c r="H991" s="24"/>
      <c r="I991" s="24"/>
      <c r="J991" s="24"/>
    </row>
    <row r="992">
      <c r="C992" s="24"/>
      <c r="F992" s="24"/>
      <c r="H992" s="24"/>
      <c r="I992" s="24"/>
      <c r="J992" s="24"/>
    </row>
    <row r="993">
      <c r="C993" s="24"/>
      <c r="F993" s="24"/>
      <c r="H993" s="24"/>
      <c r="I993" s="24"/>
      <c r="J993" s="24"/>
    </row>
    <row r="994">
      <c r="C994" s="24"/>
      <c r="F994" s="24"/>
      <c r="H994" s="24"/>
      <c r="I994" s="24"/>
      <c r="J994" s="24"/>
    </row>
    <row r="995">
      <c r="C995" s="24"/>
      <c r="F995" s="24"/>
      <c r="H995" s="24"/>
      <c r="I995" s="24"/>
      <c r="J995" s="24"/>
    </row>
    <row r="996">
      <c r="C996" s="24"/>
      <c r="F996" s="24"/>
      <c r="H996" s="24"/>
      <c r="I996" s="24"/>
      <c r="J996" s="24"/>
    </row>
    <row r="997">
      <c r="C997" s="24"/>
      <c r="F997" s="24"/>
      <c r="H997" s="24"/>
      <c r="I997" s="24"/>
      <c r="J997" s="24"/>
    </row>
    <row r="998">
      <c r="C998" s="24"/>
      <c r="F998" s="24"/>
      <c r="H998" s="24"/>
      <c r="I998" s="24"/>
      <c r="J998" s="24"/>
    </row>
    <row r="999">
      <c r="C999" s="24"/>
      <c r="F999" s="24"/>
      <c r="H999" s="24"/>
      <c r="I999" s="24"/>
      <c r="J999" s="24"/>
    </row>
    <row r="1000">
      <c r="C1000" s="24"/>
      <c r="F1000" s="24"/>
      <c r="H1000" s="24"/>
      <c r="I1000" s="24"/>
      <c r="J1000" s="24"/>
    </row>
    <row r="1001">
      <c r="C1001" s="24"/>
      <c r="F1001" s="24"/>
      <c r="H1001" s="24"/>
      <c r="I1001" s="24"/>
      <c r="J1001" s="24"/>
    </row>
    <row r="1002">
      <c r="C1002" s="24"/>
      <c r="F1002" s="24"/>
      <c r="H1002" s="24"/>
      <c r="I1002" s="24"/>
      <c r="J1002" s="24"/>
    </row>
    <row r="1003">
      <c r="C1003" s="24"/>
      <c r="F1003" s="24"/>
      <c r="H1003" s="24"/>
      <c r="I1003" s="24"/>
      <c r="J1003" s="24"/>
    </row>
    <row r="1004">
      <c r="C1004" s="24"/>
      <c r="F1004" s="24"/>
      <c r="H1004" s="24"/>
      <c r="I1004" s="24"/>
      <c r="J1004" s="24"/>
    </row>
    <row r="1005">
      <c r="C1005" s="24"/>
      <c r="F1005" s="24"/>
      <c r="H1005" s="24"/>
      <c r="I1005" s="24"/>
      <c r="J1005" s="24"/>
    </row>
  </sheetData>
  <mergeCells count="1">
    <mergeCell ref="O1:P1"/>
  </mergeCells>
  <conditionalFormatting sqref="H1:H1005">
    <cfRule type="cellIs" dxfId="0" priority="1" operator="equal">
      <formula>"Y"</formula>
    </cfRule>
  </conditionalFormatting>
  <conditionalFormatting sqref="H1:H1005">
    <cfRule type="containsText" dxfId="1" priority="2" operator="containsText" text="N">
      <formula>NOT(ISERROR(SEARCH(("N"),(H1))))</formula>
    </cfRule>
  </conditionalFormatting>
  <dataValidations>
    <dataValidation type="list" allowBlank="1" sqref="C7:C1005 I7:I1005">
      <formula1>"P1,P2,P3,P4,P5"</formula1>
    </dataValidation>
    <dataValidation type="list" allowBlank="1" sqref="F7:F1005 J7:J1005">
      <formula1>BaseData!$A$2:$A$29</formula1>
    </dataValidation>
    <dataValidation type="list" allowBlank="1" sqref="H7:H1005">
      <formula1>"Y,N"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6.38"/>
    <col customWidth="1" min="3" max="3" width="7.25"/>
    <col customWidth="1" min="4" max="4" width="20.5"/>
    <col customWidth="1" min="5" max="5" width="9.13"/>
    <col customWidth="1" min="6" max="6" width="18.63"/>
    <col customWidth="1" min="7" max="7" width="8.75"/>
    <col customWidth="1" min="8" max="8" width="11.0"/>
    <col customWidth="1" min="9" max="9" width="9.75"/>
    <col customWidth="1" min="10" max="10" width="15.13"/>
    <col customWidth="1" min="11" max="11" width="10.88"/>
    <col customWidth="1" min="12" max="12" width="35.88"/>
    <col customWidth="1" min="14" max="14" width="24.88"/>
    <col customWidth="1" min="15" max="15" width="5.75"/>
    <col customWidth="1" min="16" max="16" width="23.25"/>
    <col customWidth="1" min="17" max="17" width="22.63"/>
  </cols>
  <sheetData>
    <row r="1">
      <c r="J1" s="8"/>
      <c r="N1" s="9" t="s">
        <v>36</v>
      </c>
      <c r="O1" s="10" t="s">
        <v>37</v>
      </c>
      <c r="P1" s="11"/>
    </row>
    <row r="2">
      <c r="A2" s="8"/>
      <c r="B2" s="8"/>
      <c r="E2" s="8"/>
      <c r="F2" s="12" t="s">
        <v>25</v>
      </c>
      <c r="G2" s="1">
        <f>countifs(A:A,"&lt;&gt;NEW",A:A,"&lt;&gt;")-1</f>
        <v>22</v>
      </c>
      <c r="I2" s="8"/>
      <c r="J2" s="8"/>
      <c r="N2" s="13" t="s">
        <v>38</v>
      </c>
      <c r="O2" s="14" t="s">
        <v>39</v>
      </c>
      <c r="P2" s="15" t="s">
        <v>40</v>
      </c>
    </row>
    <row r="3">
      <c r="A3" s="8"/>
      <c r="B3" s="8"/>
      <c r="D3" s="16"/>
      <c r="E3" s="8"/>
      <c r="F3" s="17" t="s">
        <v>41</v>
      </c>
      <c r="G3" s="18">
        <f>countif(H:H,"=Y")</f>
        <v>6</v>
      </c>
      <c r="H3" s="8"/>
      <c r="I3" s="8"/>
      <c r="J3" s="8"/>
      <c r="N3" s="13" t="s">
        <v>42</v>
      </c>
      <c r="O3" s="14" t="s">
        <v>43</v>
      </c>
      <c r="P3" s="15" t="s">
        <v>44</v>
      </c>
    </row>
    <row r="4">
      <c r="A4" s="8"/>
      <c r="B4" s="8"/>
      <c r="E4" s="8"/>
      <c r="F4" s="17" t="s">
        <v>45</v>
      </c>
      <c r="G4" s="18">
        <f>COUNTIF(A:A,"=NEW")</f>
        <v>0</v>
      </c>
      <c r="H4" s="8"/>
      <c r="I4" s="8"/>
      <c r="J4" s="8"/>
      <c r="N4" s="13" t="s">
        <v>46</v>
      </c>
      <c r="O4" s="14" t="s">
        <v>47</v>
      </c>
      <c r="P4" s="15" t="s">
        <v>48</v>
      </c>
    </row>
    <row r="5">
      <c r="A5" s="8"/>
      <c r="B5" s="8"/>
      <c r="C5" s="8"/>
      <c r="D5" s="8"/>
      <c r="E5" s="8"/>
      <c r="F5" s="8"/>
      <c r="G5" s="8"/>
      <c r="H5" s="8"/>
      <c r="I5" s="8"/>
      <c r="J5" s="8"/>
      <c r="N5" s="13" t="s">
        <v>49</v>
      </c>
      <c r="O5" s="14" t="s">
        <v>50</v>
      </c>
      <c r="P5" s="15" t="s">
        <v>51</v>
      </c>
    </row>
    <row r="6">
      <c r="A6" s="1" t="s">
        <v>52</v>
      </c>
      <c r="B6" s="1" t="s">
        <v>53</v>
      </c>
      <c r="C6" s="1" t="s">
        <v>54</v>
      </c>
      <c r="D6" s="1" t="s">
        <v>55</v>
      </c>
      <c r="E6" s="1" t="s">
        <v>56</v>
      </c>
      <c r="F6" s="1" t="s">
        <v>57</v>
      </c>
      <c r="G6" s="1" t="s">
        <v>58</v>
      </c>
      <c r="H6" s="18" t="s">
        <v>59</v>
      </c>
      <c r="I6" s="18" t="s">
        <v>60</v>
      </c>
      <c r="J6" s="18" t="s">
        <v>61</v>
      </c>
      <c r="K6" s="18" t="s">
        <v>62</v>
      </c>
      <c r="L6" s="18" t="s">
        <v>63</v>
      </c>
      <c r="N6" s="13" t="s">
        <v>64</v>
      </c>
      <c r="O6" s="14" t="s">
        <v>65</v>
      </c>
      <c r="P6" s="15" t="s">
        <v>66</v>
      </c>
    </row>
    <row r="7">
      <c r="A7" s="19" t="s">
        <v>93</v>
      </c>
      <c r="B7" s="19" t="s">
        <v>94</v>
      </c>
      <c r="C7" s="19" t="s">
        <v>95</v>
      </c>
      <c r="D7" s="19" t="s">
        <v>38</v>
      </c>
      <c r="E7" s="19" t="s">
        <v>43</v>
      </c>
      <c r="F7" s="19" t="s">
        <v>96</v>
      </c>
      <c r="G7" s="19" t="s">
        <v>97</v>
      </c>
      <c r="H7" s="19" t="s">
        <v>98</v>
      </c>
      <c r="I7" s="19" t="s">
        <v>95</v>
      </c>
      <c r="J7" s="19" t="s">
        <v>99</v>
      </c>
      <c r="K7" s="25" t="str">
        <f>HYPERLINK("https://maxxton.atlassian.net/browse/QA-21812","QA-21812")</f>
        <v>QA-21812</v>
      </c>
      <c r="L7" s="19" t="s">
        <v>100</v>
      </c>
      <c r="N7" s="14" t="s">
        <v>67</v>
      </c>
      <c r="O7" s="20" t="s">
        <v>68</v>
      </c>
      <c r="P7" s="20" t="s">
        <v>69</v>
      </c>
    </row>
    <row r="8">
      <c r="A8" s="19" t="s">
        <v>101</v>
      </c>
      <c r="B8" s="19" t="s">
        <v>102</v>
      </c>
      <c r="C8" s="19" t="s">
        <v>95</v>
      </c>
      <c r="D8" s="19" t="s">
        <v>70</v>
      </c>
      <c r="E8" s="19" t="s">
        <v>43</v>
      </c>
      <c r="F8" s="19" t="s">
        <v>99</v>
      </c>
      <c r="G8" s="19" t="s">
        <v>97</v>
      </c>
      <c r="H8" s="19" t="s">
        <v>98</v>
      </c>
      <c r="I8" s="19" t="s">
        <v>95</v>
      </c>
      <c r="J8" s="19" t="s">
        <v>99</v>
      </c>
      <c r="K8" s="25" t="str">
        <f>HYPERLINK("https://maxxton.atlassian.net/browse/QA-15771","QA-15771")</f>
        <v>QA-15771</v>
      </c>
      <c r="L8" s="19" t="s">
        <v>103</v>
      </c>
      <c r="N8" s="14" t="s">
        <v>70</v>
      </c>
      <c r="O8" s="20" t="s">
        <v>71</v>
      </c>
      <c r="P8" s="20" t="s">
        <v>72</v>
      </c>
    </row>
    <row r="9">
      <c r="A9" s="19" t="s">
        <v>104</v>
      </c>
      <c r="B9" s="19" t="s">
        <v>105</v>
      </c>
      <c r="C9" s="19" t="s">
        <v>95</v>
      </c>
      <c r="D9" s="19" t="s">
        <v>80</v>
      </c>
      <c r="E9" s="19" t="s">
        <v>43</v>
      </c>
      <c r="F9" s="19" t="s">
        <v>99</v>
      </c>
      <c r="G9" s="19" t="s">
        <v>97</v>
      </c>
      <c r="H9" s="19" t="s">
        <v>98</v>
      </c>
      <c r="I9" s="19" t="s">
        <v>95</v>
      </c>
      <c r="J9" s="19" t="s">
        <v>99</v>
      </c>
      <c r="K9" s="25" t="str">
        <f>HYPERLINK("https://maxxton.atlassian.net/browse/QA-22266","QA-22266")</f>
        <v>QA-22266</v>
      </c>
      <c r="L9" s="19" t="s">
        <v>106</v>
      </c>
      <c r="N9" s="14" t="s">
        <v>73</v>
      </c>
      <c r="O9" s="20" t="s">
        <v>74</v>
      </c>
      <c r="P9" s="20" t="s">
        <v>75</v>
      </c>
    </row>
    <row r="10">
      <c r="A10" s="19" t="s">
        <v>107</v>
      </c>
      <c r="B10" s="19" t="s">
        <v>108</v>
      </c>
      <c r="C10" s="19" t="s">
        <v>95</v>
      </c>
      <c r="D10" s="19" t="s">
        <v>42</v>
      </c>
      <c r="E10" s="19" t="s">
        <v>43</v>
      </c>
      <c r="F10" s="19" t="s">
        <v>109</v>
      </c>
      <c r="G10" s="19" t="s">
        <v>110</v>
      </c>
      <c r="H10" s="19" t="s">
        <v>98</v>
      </c>
      <c r="I10" s="19" t="s">
        <v>95</v>
      </c>
      <c r="J10" s="19" t="s">
        <v>99</v>
      </c>
      <c r="K10" s="25" t="str">
        <f>HYPERLINK("https://maxxton.atlassian.net/browse/QA-22267","QA-22267")</f>
        <v>QA-22267</v>
      </c>
      <c r="L10" s="19" t="s">
        <v>106</v>
      </c>
      <c r="N10" s="14" t="s">
        <v>76</v>
      </c>
      <c r="O10" s="20"/>
      <c r="P10" s="20"/>
    </row>
    <row r="11">
      <c r="A11" s="19" t="s">
        <v>111</v>
      </c>
      <c r="B11" s="19" t="s">
        <v>112</v>
      </c>
      <c r="C11" s="19" t="s">
        <v>95</v>
      </c>
      <c r="D11" s="19" t="s">
        <v>73</v>
      </c>
      <c r="E11" s="19" t="s">
        <v>43</v>
      </c>
      <c r="F11" s="19" t="s">
        <v>96</v>
      </c>
      <c r="G11" s="19" t="s">
        <v>110</v>
      </c>
      <c r="H11" s="19" t="s">
        <v>98</v>
      </c>
      <c r="I11" s="19" t="s">
        <v>95</v>
      </c>
      <c r="J11" s="19" t="s">
        <v>99</v>
      </c>
      <c r="K11" s="25" t="str">
        <f>HYPERLINK("https://maxxton.atlassian.net/browse/QA-11981","QA-11981")</f>
        <v>QA-11981</v>
      </c>
      <c r="L11" s="19" t="s">
        <v>113</v>
      </c>
      <c r="N11" s="14" t="s">
        <v>77</v>
      </c>
      <c r="O11" s="20"/>
      <c r="P11" s="20"/>
    </row>
    <row r="12">
      <c r="A12" s="19" t="s">
        <v>114</v>
      </c>
      <c r="B12" s="19" t="s">
        <v>115</v>
      </c>
      <c r="C12" s="19" t="s">
        <v>95</v>
      </c>
      <c r="D12" s="19" t="s">
        <v>77</v>
      </c>
      <c r="E12" s="19" t="s">
        <v>43</v>
      </c>
      <c r="F12" s="19" t="s">
        <v>96</v>
      </c>
      <c r="G12" s="19" t="s">
        <v>110</v>
      </c>
      <c r="H12" s="19" t="s">
        <v>98</v>
      </c>
      <c r="I12" s="19" t="s">
        <v>95</v>
      </c>
      <c r="J12" s="19" t="s">
        <v>109</v>
      </c>
      <c r="K12" s="26" t="str">
        <f>HYPERLINK("https://maxxton.atlassian.net/browse/QA-22268","QA-22268")</f>
        <v>QA-22268</v>
      </c>
      <c r="L12" s="19" t="s">
        <v>106</v>
      </c>
      <c r="N12" s="14" t="s">
        <v>78</v>
      </c>
      <c r="O12" s="20"/>
      <c r="P12" s="20"/>
    </row>
    <row r="13">
      <c r="A13" s="19" t="s">
        <v>116</v>
      </c>
      <c r="B13" s="19" t="s">
        <v>117</v>
      </c>
      <c r="C13" s="19" t="s">
        <v>95</v>
      </c>
      <c r="D13" s="19" t="s">
        <v>81</v>
      </c>
      <c r="E13" s="19" t="s">
        <v>43</v>
      </c>
      <c r="F13" s="19" t="s">
        <v>99</v>
      </c>
      <c r="G13" s="19" t="s">
        <v>110</v>
      </c>
      <c r="H13" s="19" t="s">
        <v>98</v>
      </c>
      <c r="I13" s="19" t="s">
        <v>95</v>
      </c>
      <c r="J13" s="19" t="s">
        <v>99</v>
      </c>
      <c r="K13" s="26" t="str">
        <f>HYPERLINK("https://maxxton.atlassian.net/browse/QA-22269","QA-22269")</f>
        <v>QA-22269</v>
      </c>
      <c r="L13" s="19" t="s">
        <v>106</v>
      </c>
      <c r="N13" s="14" t="s">
        <v>79</v>
      </c>
      <c r="O13" s="20"/>
      <c r="P13" s="20"/>
    </row>
    <row r="14">
      <c r="A14" s="19" t="s">
        <v>118</v>
      </c>
      <c r="B14" s="19" t="s">
        <v>119</v>
      </c>
      <c r="C14" s="19" t="s">
        <v>95</v>
      </c>
      <c r="D14" s="19" t="s">
        <v>83</v>
      </c>
      <c r="E14" s="19" t="s">
        <v>43</v>
      </c>
      <c r="F14" s="19" t="s">
        <v>96</v>
      </c>
      <c r="G14" s="19" t="s">
        <v>110</v>
      </c>
      <c r="H14" s="19" t="s">
        <v>98</v>
      </c>
      <c r="I14" s="19" t="s">
        <v>95</v>
      </c>
      <c r="J14" s="19" t="s">
        <v>109</v>
      </c>
      <c r="K14" s="26" t="str">
        <f>HYPERLINK("https://maxxton.atlassian.net/browse/QA-22270","QA-22270")</f>
        <v>QA-22270</v>
      </c>
      <c r="L14" s="19" t="s">
        <v>106</v>
      </c>
      <c r="N14" s="14" t="s">
        <v>80</v>
      </c>
      <c r="O14" s="20"/>
      <c r="P14" s="20"/>
    </row>
    <row r="15">
      <c r="A15" s="19" t="s">
        <v>120</v>
      </c>
      <c r="B15" s="19" t="s">
        <v>121</v>
      </c>
      <c r="C15" s="19" t="s">
        <v>95</v>
      </c>
      <c r="D15" s="19" t="s">
        <v>122</v>
      </c>
      <c r="E15" s="19" t="s">
        <v>43</v>
      </c>
      <c r="F15" s="19" t="s">
        <v>109</v>
      </c>
      <c r="G15" s="19"/>
      <c r="H15" s="19" t="s">
        <v>98</v>
      </c>
      <c r="I15" s="19" t="s">
        <v>95</v>
      </c>
      <c r="J15" s="19" t="s">
        <v>99</v>
      </c>
      <c r="K15" s="26" t="str">
        <f>HYPERLINK("https://maxxton.atlassian.net/browse/QA-22045","QA-22045")</f>
        <v>QA-22045</v>
      </c>
      <c r="L15" s="19" t="s">
        <v>123</v>
      </c>
      <c r="N15" s="14" t="s">
        <v>81</v>
      </c>
      <c r="O15" s="20"/>
      <c r="P15" s="20"/>
    </row>
    <row r="16">
      <c r="A16" s="19" t="s">
        <v>124</v>
      </c>
      <c r="B16" s="19" t="s">
        <v>125</v>
      </c>
      <c r="C16" s="19" t="s">
        <v>95</v>
      </c>
      <c r="D16" s="19" t="s">
        <v>80</v>
      </c>
      <c r="E16" s="19" t="s">
        <v>43</v>
      </c>
      <c r="F16" s="19" t="s">
        <v>99</v>
      </c>
      <c r="G16" s="19" t="s">
        <v>97</v>
      </c>
      <c r="H16" s="19" t="s">
        <v>98</v>
      </c>
      <c r="I16" s="19" t="s">
        <v>95</v>
      </c>
      <c r="J16" s="19" t="s">
        <v>99</v>
      </c>
      <c r="K16" s="26" t="str">
        <f>HYPERLINK("https://maxxton.atlassian.net/browse/QA-22271","QA-22271")</f>
        <v>QA-22271</v>
      </c>
      <c r="L16" s="19" t="s">
        <v>106</v>
      </c>
      <c r="N16" s="14" t="s">
        <v>82</v>
      </c>
      <c r="O16" s="20"/>
      <c r="P16" s="20"/>
    </row>
    <row r="17">
      <c r="A17" s="19" t="s">
        <v>126</v>
      </c>
      <c r="B17" s="19" t="s">
        <v>127</v>
      </c>
      <c r="C17" s="19" t="s">
        <v>95</v>
      </c>
      <c r="D17" s="19" t="s">
        <v>91</v>
      </c>
      <c r="E17" s="19" t="s">
        <v>43</v>
      </c>
      <c r="F17" s="19" t="s">
        <v>109</v>
      </c>
      <c r="G17" s="19" t="s">
        <v>128</v>
      </c>
      <c r="H17" s="19" t="s">
        <v>98</v>
      </c>
      <c r="I17" s="19" t="s">
        <v>95</v>
      </c>
      <c r="J17" s="19" t="s">
        <v>96</v>
      </c>
      <c r="K17" s="26" t="str">
        <f>HYPERLINK("https://maxxton.atlassian.net/browse/QA-21210","QA-21210")</f>
        <v>QA-21210</v>
      </c>
      <c r="L17" s="19" t="s">
        <v>129</v>
      </c>
      <c r="N17" s="14" t="s">
        <v>83</v>
      </c>
      <c r="O17" s="20"/>
      <c r="P17" s="20"/>
      <c r="Q17" s="24" t="str">
        <f>vlookup(J17,BaseData!A:B,2)</f>
        <v>625a7ab04f1d57006a26d692</v>
      </c>
    </row>
    <row r="18">
      <c r="A18" s="19" t="s">
        <v>130</v>
      </c>
      <c r="B18" s="19" t="s">
        <v>131</v>
      </c>
      <c r="C18" s="19" t="s">
        <v>95</v>
      </c>
      <c r="D18" s="19" t="s">
        <v>92</v>
      </c>
      <c r="E18" s="19" t="s">
        <v>43</v>
      </c>
      <c r="F18" s="19" t="s">
        <v>109</v>
      </c>
      <c r="G18" s="19" t="s">
        <v>128</v>
      </c>
      <c r="H18" s="19" t="s">
        <v>98</v>
      </c>
      <c r="I18" s="19" t="s">
        <v>95</v>
      </c>
      <c r="J18" s="19" t="s">
        <v>96</v>
      </c>
      <c r="K18" s="26" t="str">
        <f>HYPERLINK("https://maxxton.atlassian.net/browse/QA-21680","QA-21680")</f>
        <v>QA-21680</v>
      </c>
      <c r="L18" s="19" t="s">
        <v>132</v>
      </c>
      <c r="N18" s="14" t="s">
        <v>84</v>
      </c>
      <c r="O18" s="20"/>
      <c r="P18" s="20"/>
    </row>
    <row r="19">
      <c r="A19" s="19" t="s">
        <v>133</v>
      </c>
      <c r="B19" s="19" t="s">
        <v>134</v>
      </c>
      <c r="C19" s="19" t="s">
        <v>135</v>
      </c>
      <c r="D19" s="19" t="s">
        <v>38</v>
      </c>
      <c r="E19" s="19" t="s">
        <v>47</v>
      </c>
      <c r="F19" s="19" t="s">
        <v>96</v>
      </c>
      <c r="G19" s="19" t="s">
        <v>136</v>
      </c>
      <c r="H19" s="19" t="s">
        <v>98</v>
      </c>
      <c r="I19" s="19" t="s">
        <v>135</v>
      </c>
      <c r="J19" s="19" t="s">
        <v>99</v>
      </c>
      <c r="K19" s="26" t="str">
        <f>HYPERLINK("https://maxxton.atlassian.net/browse/QA-21841","QA-21841")</f>
        <v>QA-21841</v>
      </c>
      <c r="L19" s="19" t="s">
        <v>137</v>
      </c>
      <c r="N19" s="14" t="s">
        <v>85</v>
      </c>
      <c r="O19" s="20"/>
      <c r="P19" s="20"/>
    </row>
    <row r="20">
      <c r="A20" s="19" t="s">
        <v>138</v>
      </c>
      <c r="B20" s="19" t="s">
        <v>139</v>
      </c>
      <c r="C20" s="19" t="s">
        <v>135</v>
      </c>
      <c r="D20" s="19" t="s">
        <v>70</v>
      </c>
      <c r="E20" s="19" t="s">
        <v>47</v>
      </c>
      <c r="F20" s="19" t="s">
        <v>109</v>
      </c>
      <c r="G20" s="19" t="s">
        <v>136</v>
      </c>
      <c r="H20" s="19" t="s">
        <v>98</v>
      </c>
      <c r="I20" s="19" t="s">
        <v>135</v>
      </c>
      <c r="J20" s="19" t="s">
        <v>96</v>
      </c>
      <c r="K20" s="26" t="str">
        <f>HYPERLINK("https://maxxton.atlassian.net/browse/QA-19766","QA-19766")</f>
        <v>QA-19766</v>
      </c>
      <c r="L20" s="19" t="s">
        <v>140</v>
      </c>
      <c r="N20" s="14" t="s">
        <v>86</v>
      </c>
      <c r="O20" s="20"/>
      <c r="P20" s="20"/>
    </row>
    <row r="21">
      <c r="A21" s="19" t="s">
        <v>141</v>
      </c>
      <c r="B21" s="19" t="s">
        <v>142</v>
      </c>
      <c r="C21" s="19" t="s">
        <v>135</v>
      </c>
      <c r="D21" s="19" t="s">
        <v>80</v>
      </c>
      <c r="E21" s="19" t="s">
        <v>47</v>
      </c>
      <c r="F21" s="19" t="s">
        <v>99</v>
      </c>
      <c r="G21" s="19" t="s">
        <v>136</v>
      </c>
      <c r="H21" s="19" t="s">
        <v>143</v>
      </c>
      <c r="I21" s="19" t="s">
        <v>135</v>
      </c>
      <c r="J21" s="19" t="s">
        <v>99</v>
      </c>
      <c r="K21" s="26" t="str">
        <f>HYPERLINK("https://maxxton.atlassian.net/browse/QA-22288","QA-22288")</f>
        <v>QA-22288</v>
      </c>
      <c r="L21" s="19" t="s">
        <v>144</v>
      </c>
      <c r="N21" s="14" t="s">
        <v>87</v>
      </c>
      <c r="O21" s="20"/>
      <c r="P21" s="20"/>
    </row>
    <row r="22">
      <c r="A22" s="19" t="s">
        <v>145</v>
      </c>
      <c r="B22" s="19" t="s">
        <v>146</v>
      </c>
      <c r="C22" s="19" t="s">
        <v>135</v>
      </c>
      <c r="D22" s="19" t="s">
        <v>42</v>
      </c>
      <c r="E22" s="19" t="s">
        <v>47</v>
      </c>
      <c r="F22" s="19" t="s">
        <v>96</v>
      </c>
      <c r="G22" s="19" t="s">
        <v>136</v>
      </c>
      <c r="H22" s="19" t="s">
        <v>143</v>
      </c>
      <c r="I22" s="19" t="s">
        <v>135</v>
      </c>
      <c r="J22" s="19" t="s">
        <v>99</v>
      </c>
      <c r="K22" s="26" t="str">
        <f>HYPERLINK("https://maxxton.atlassian.net/browse/QA-22289","QA-22289")</f>
        <v>QA-22289</v>
      </c>
      <c r="L22" s="19" t="s">
        <v>144</v>
      </c>
      <c r="N22" s="14" t="s">
        <v>88</v>
      </c>
      <c r="O22" s="20"/>
      <c r="P22" s="20"/>
    </row>
    <row r="23">
      <c r="A23" s="19" t="s">
        <v>147</v>
      </c>
      <c r="B23" s="19" t="s">
        <v>148</v>
      </c>
      <c r="C23" s="19" t="s">
        <v>135</v>
      </c>
      <c r="D23" s="19" t="s">
        <v>73</v>
      </c>
      <c r="E23" s="19" t="s">
        <v>47</v>
      </c>
      <c r="F23" s="19" t="s">
        <v>109</v>
      </c>
      <c r="G23" s="19" t="s">
        <v>136</v>
      </c>
      <c r="H23" s="19" t="s">
        <v>98</v>
      </c>
      <c r="I23" s="19" t="s">
        <v>135</v>
      </c>
      <c r="J23" s="19" t="s">
        <v>96</v>
      </c>
      <c r="K23" s="26" t="str">
        <f>HYPERLINK("https://maxxton.atlassian.net/browse/QA-19769","QA-19769")</f>
        <v>QA-19769</v>
      </c>
      <c r="L23" s="19" t="s">
        <v>140</v>
      </c>
      <c r="N23" s="14" t="s">
        <v>89</v>
      </c>
      <c r="O23" s="20"/>
      <c r="P23" s="20"/>
    </row>
    <row r="24">
      <c r="A24" s="19" t="s">
        <v>149</v>
      </c>
      <c r="B24" s="19" t="s">
        <v>150</v>
      </c>
      <c r="C24" s="19" t="s">
        <v>135</v>
      </c>
      <c r="D24" s="19" t="s">
        <v>77</v>
      </c>
      <c r="E24" s="19" t="s">
        <v>47</v>
      </c>
      <c r="F24" s="19" t="s">
        <v>96</v>
      </c>
      <c r="G24" s="19" t="s">
        <v>136</v>
      </c>
      <c r="H24" s="19" t="s">
        <v>143</v>
      </c>
      <c r="I24" s="19" t="s">
        <v>135</v>
      </c>
      <c r="J24" s="19" t="s">
        <v>99</v>
      </c>
      <c r="K24" s="26" t="str">
        <f>HYPERLINK("https://maxxton.atlassian.net/browse/QA-22290","QA-22290")</f>
        <v>QA-22290</v>
      </c>
      <c r="L24" s="19" t="s">
        <v>144</v>
      </c>
      <c r="N24" s="22" t="s">
        <v>90</v>
      </c>
      <c r="O24" s="20"/>
      <c r="P24" s="20"/>
    </row>
    <row r="25">
      <c r="A25" s="19" t="s">
        <v>151</v>
      </c>
      <c r="B25" s="19" t="s">
        <v>152</v>
      </c>
      <c r="C25" s="19" t="s">
        <v>135</v>
      </c>
      <c r="D25" s="19" t="s">
        <v>81</v>
      </c>
      <c r="E25" s="19" t="s">
        <v>47</v>
      </c>
      <c r="F25" s="19" t="s">
        <v>99</v>
      </c>
      <c r="G25" s="19" t="s">
        <v>136</v>
      </c>
      <c r="H25" s="19" t="s">
        <v>143</v>
      </c>
      <c r="I25" s="19" t="s">
        <v>135</v>
      </c>
      <c r="J25" s="19" t="s">
        <v>99</v>
      </c>
      <c r="K25" s="26" t="str">
        <f>HYPERLINK("https://maxxton.atlassian.net/browse/QA-22291","QA-22291")</f>
        <v>QA-22291</v>
      </c>
      <c r="L25" s="19" t="s">
        <v>144</v>
      </c>
      <c r="N25" s="22" t="s">
        <v>91</v>
      </c>
      <c r="O25" s="20"/>
      <c r="P25" s="20"/>
    </row>
    <row r="26">
      <c r="A26" s="19" t="s">
        <v>153</v>
      </c>
      <c r="B26" s="19" t="s">
        <v>154</v>
      </c>
      <c r="C26" s="19" t="s">
        <v>135</v>
      </c>
      <c r="D26" s="19" t="s">
        <v>83</v>
      </c>
      <c r="E26" s="19" t="s">
        <v>47</v>
      </c>
      <c r="F26" s="19" t="s">
        <v>96</v>
      </c>
      <c r="G26" s="19" t="s">
        <v>136</v>
      </c>
      <c r="H26" s="19" t="s">
        <v>143</v>
      </c>
      <c r="I26" s="19" t="s">
        <v>135</v>
      </c>
      <c r="J26" s="19" t="s">
        <v>99</v>
      </c>
      <c r="K26" s="26" t="str">
        <f>HYPERLINK("https://maxxton.atlassian.net/browse/QA-22292","QA-22292")</f>
        <v>QA-22292</v>
      </c>
      <c r="L26" s="19" t="s">
        <v>144</v>
      </c>
      <c r="N26" s="23" t="s">
        <v>92</v>
      </c>
      <c r="O26" s="20"/>
      <c r="P26" s="20"/>
    </row>
    <row r="27">
      <c r="A27" s="19" t="s">
        <v>155</v>
      </c>
      <c r="B27" s="19" t="s">
        <v>156</v>
      </c>
      <c r="C27" s="19" t="s">
        <v>135</v>
      </c>
      <c r="D27" s="19" t="s">
        <v>80</v>
      </c>
      <c r="E27" s="19" t="s">
        <v>47</v>
      </c>
      <c r="F27" s="19" t="s">
        <v>99</v>
      </c>
      <c r="G27" s="19" t="s">
        <v>136</v>
      </c>
      <c r="H27" s="19" t="s">
        <v>143</v>
      </c>
      <c r="I27" s="19" t="s">
        <v>135</v>
      </c>
      <c r="J27" s="19" t="s">
        <v>99</v>
      </c>
      <c r="K27" s="26" t="str">
        <f>HYPERLINK("https://maxxton.atlassian.net/browse/QA-22293","QA-22293")</f>
        <v>QA-22293</v>
      </c>
      <c r="L27" s="19" t="s">
        <v>144</v>
      </c>
    </row>
    <row r="28">
      <c r="A28" s="19" t="s">
        <v>157</v>
      </c>
      <c r="B28" s="19" t="s">
        <v>158</v>
      </c>
      <c r="C28" s="19" t="s">
        <v>135</v>
      </c>
      <c r="D28" s="19" t="s">
        <v>92</v>
      </c>
      <c r="E28" s="19" t="s">
        <v>47</v>
      </c>
      <c r="F28" s="19" t="s">
        <v>109</v>
      </c>
      <c r="G28" s="19" t="s">
        <v>136</v>
      </c>
      <c r="H28" s="19" t="s">
        <v>98</v>
      </c>
      <c r="I28" s="19" t="s">
        <v>135</v>
      </c>
      <c r="J28" s="19" t="s">
        <v>96</v>
      </c>
      <c r="K28" s="26" t="str">
        <f>HYPERLINK("https://maxxton.atlassian.net/browse/QA-21689","QA-21689")</f>
        <v>QA-21689</v>
      </c>
      <c r="L28" s="19" t="s">
        <v>159</v>
      </c>
    </row>
    <row r="29">
      <c r="A29" s="21"/>
      <c r="B29" s="21"/>
      <c r="C29" s="21"/>
      <c r="D29" s="21"/>
      <c r="E29" s="21"/>
      <c r="F29" s="21"/>
      <c r="G29" s="21"/>
      <c r="H29" s="21"/>
      <c r="I29" s="21"/>
      <c r="J29" s="21"/>
      <c r="K29" s="21"/>
      <c r="L29" s="21"/>
    </row>
    <row r="30">
      <c r="A30" s="21"/>
      <c r="B30" s="21"/>
      <c r="C30" s="21"/>
      <c r="D30" s="21"/>
      <c r="E30" s="21"/>
      <c r="F30" s="21"/>
      <c r="G30" s="21"/>
      <c r="H30" s="21"/>
      <c r="I30" s="21"/>
      <c r="J30" s="21"/>
      <c r="K30" s="21"/>
      <c r="L30" s="21"/>
    </row>
    <row r="31">
      <c r="A31" s="21"/>
      <c r="B31" s="21"/>
      <c r="C31" s="21"/>
      <c r="D31" s="21"/>
      <c r="E31" s="21"/>
      <c r="F31" s="21"/>
      <c r="G31" s="21"/>
      <c r="H31" s="21"/>
      <c r="I31" s="21"/>
      <c r="J31" s="21"/>
      <c r="K31" s="21"/>
      <c r="L31" s="21"/>
    </row>
    <row r="32">
      <c r="A32" s="21"/>
      <c r="B32" s="21"/>
      <c r="C32" s="21"/>
      <c r="D32" s="21"/>
      <c r="E32" s="21"/>
      <c r="F32" s="21"/>
      <c r="G32" s="21"/>
      <c r="H32" s="21"/>
      <c r="I32" s="21"/>
      <c r="J32" s="21"/>
      <c r="K32" s="21"/>
      <c r="L32" s="21"/>
    </row>
    <row r="33">
      <c r="A33" s="21"/>
      <c r="B33" s="21"/>
      <c r="C33" s="21"/>
      <c r="D33" s="21"/>
      <c r="E33" s="21"/>
      <c r="F33" s="21"/>
      <c r="G33" s="21"/>
      <c r="H33" s="21"/>
      <c r="I33" s="21"/>
      <c r="J33" s="21"/>
      <c r="K33" s="21"/>
      <c r="L33" s="21"/>
    </row>
    <row r="34">
      <c r="A34" s="21"/>
      <c r="B34" s="21"/>
      <c r="C34" s="21"/>
      <c r="D34" s="21"/>
      <c r="E34" s="21"/>
      <c r="F34" s="21"/>
      <c r="G34" s="21"/>
      <c r="H34" s="21"/>
      <c r="I34" s="21"/>
      <c r="J34" s="21"/>
      <c r="K34" s="21"/>
      <c r="L34" s="21"/>
    </row>
    <row r="35">
      <c r="A35" s="21"/>
      <c r="B35" s="21"/>
      <c r="C35" s="21"/>
      <c r="D35" s="21"/>
      <c r="E35" s="21"/>
      <c r="F35" s="21"/>
      <c r="G35" s="21"/>
      <c r="H35" s="21"/>
      <c r="I35" s="21"/>
      <c r="J35" s="21"/>
      <c r="K35" s="21"/>
      <c r="L35" s="21"/>
    </row>
    <row r="36">
      <c r="A36" s="21"/>
      <c r="B36" s="21"/>
      <c r="C36" s="21"/>
      <c r="D36" s="21"/>
      <c r="E36" s="21"/>
      <c r="F36" s="21"/>
      <c r="G36" s="21"/>
      <c r="H36" s="21"/>
      <c r="I36" s="21"/>
      <c r="J36" s="21"/>
      <c r="K36" s="21"/>
      <c r="L36" s="21"/>
    </row>
    <row r="37">
      <c r="A37" s="21"/>
      <c r="B37" s="21"/>
      <c r="C37" s="21"/>
      <c r="D37" s="21"/>
      <c r="E37" s="21"/>
      <c r="F37" s="21"/>
      <c r="G37" s="21"/>
      <c r="H37" s="21"/>
      <c r="I37" s="21"/>
      <c r="J37" s="21"/>
      <c r="K37" s="21"/>
      <c r="L37" s="21"/>
    </row>
    <row r="38">
      <c r="A38" s="21"/>
      <c r="B38" s="21"/>
      <c r="C38" s="21"/>
      <c r="D38" s="21"/>
      <c r="E38" s="21"/>
      <c r="F38" s="21"/>
      <c r="G38" s="21"/>
      <c r="H38" s="21"/>
      <c r="I38" s="21"/>
      <c r="J38" s="21"/>
      <c r="K38" s="21"/>
      <c r="L38" s="21"/>
    </row>
    <row r="39">
      <c r="A39" s="21"/>
      <c r="B39" s="21"/>
      <c r="C39" s="21"/>
      <c r="D39" s="21"/>
      <c r="E39" s="21"/>
      <c r="F39" s="21"/>
      <c r="G39" s="21"/>
      <c r="H39" s="21"/>
      <c r="I39" s="21"/>
      <c r="J39" s="21"/>
      <c r="K39" s="21"/>
      <c r="L39" s="21"/>
    </row>
    <row r="40">
      <c r="A40" s="21"/>
      <c r="B40" s="21"/>
      <c r="C40" s="21"/>
      <c r="D40" s="21"/>
      <c r="E40" s="21"/>
      <c r="F40" s="21"/>
      <c r="G40" s="21"/>
      <c r="H40" s="21"/>
      <c r="I40" s="21"/>
      <c r="J40" s="21"/>
      <c r="K40" s="21"/>
      <c r="L40" s="21"/>
    </row>
    <row r="41">
      <c r="A41" s="21"/>
      <c r="B41" s="21"/>
      <c r="C41" s="21"/>
      <c r="D41" s="21"/>
      <c r="E41" s="21"/>
      <c r="F41" s="21"/>
      <c r="G41" s="21"/>
      <c r="H41" s="21"/>
      <c r="I41" s="21"/>
      <c r="J41" s="21"/>
      <c r="K41" s="21"/>
      <c r="L41" s="21"/>
    </row>
    <row r="42">
      <c r="A42" s="21"/>
      <c r="B42" s="21"/>
      <c r="C42" s="21"/>
      <c r="D42" s="21"/>
      <c r="E42" s="21"/>
      <c r="F42" s="21"/>
      <c r="G42" s="21"/>
      <c r="H42" s="21"/>
      <c r="I42" s="21"/>
      <c r="J42" s="21"/>
      <c r="K42" s="21"/>
      <c r="L42" s="21"/>
    </row>
    <row r="43">
      <c r="A43" s="21"/>
      <c r="B43" s="21"/>
      <c r="C43" s="21"/>
      <c r="D43" s="21"/>
      <c r="E43" s="21"/>
      <c r="F43" s="21"/>
      <c r="G43" s="21"/>
      <c r="H43" s="21"/>
      <c r="I43" s="21"/>
      <c r="J43" s="21"/>
      <c r="K43" s="21"/>
      <c r="L43" s="21"/>
    </row>
    <row r="44">
      <c r="A44" s="21"/>
      <c r="B44" s="21"/>
      <c r="C44" s="21"/>
      <c r="D44" s="21"/>
      <c r="E44" s="21"/>
      <c r="F44" s="21"/>
      <c r="G44" s="21"/>
      <c r="H44" s="21"/>
      <c r="I44" s="21"/>
      <c r="J44" s="21"/>
      <c r="K44" s="21"/>
      <c r="L44" s="21"/>
    </row>
    <row r="45">
      <c r="A45" s="21"/>
      <c r="B45" s="21"/>
      <c r="C45" s="21"/>
      <c r="D45" s="21"/>
      <c r="E45" s="21"/>
      <c r="F45" s="21"/>
      <c r="G45" s="21"/>
      <c r="H45" s="21"/>
      <c r="I45" s="21"/>
      <c r="J45" s="21"/>
      <c r="K45" s="21"/>
      <c r="L45" s="21"/>
    </row>
    <row r="46">
      <c r="A46" s="21"/>
      <c r="B46" s="21"/>
      <c r="C46" s="21"/>
      <c r="D46" s="21"/>
      <c r="E46" s="21"/>
      <c r="F46" s="21"/>
      <c r="G46" s="21"/>
      <c r="H46" s="21"/>
      <c r="I46" s="21"/>
      <c r="J46" s="21"/>
      <c r="K46" s="21"/>
      <c r="L46" s="21"/>
    </row>
    <row r="47">
      <c r="A47" s="21"/>
      <c r="B47" s="21"/>
      <c r="C47" s="21"/>
      <c r="D47" s="21"/>
      <c r="E47" s="21"/>
      <c r="F47" s="21"/>
      <c r="G47" s="21"/>
      <c r="H47" s="21"/>
      <c r="I47" s="21"/>
      <c r="J47" s="21"/>
      <c r="K47" s="21"/>
      <c r="L47" s="21"/>
    </row>
    <row r="48">
      <c r="A48" s="21"/>
      <c r="B48" s="21"/>
      <c r="C48" s="21"/>
      <c r="D48" s="21"/>
      <c r="E48" s="21"/>
      <c r="F48" s="21"/>
      <c r="G48" s="21"/>
      <c r="H48" s="21"/>
      <c r="I48" s="21"/>
      <c r="J48" s="21"/>
      <c r="K48" s="21"/>
      <c r="L48" s="21"/>
    </row>
    <row r="49">
      <c r="A49" s="21"/>
      <c r="B49" s="21"/>
      <c r="C49" s="21"/>
      <c r="D49" s="21"/>
      <c r="E49" s="21"/>
      <c r="F49" s="21"/>
      <c r="G49" s="21"/>
      <c r="H49" s="21"/>
      <c r="I49" s="21"/>
      <c r="J49" s="21"/>
      <c r="K49" s="21"/>
      <c r="L49" s="21"/>
    </row>
    <row r="50">
      <c r="A50" s="21"/>
      <c r="B50" s="21"/>
      <c r="C50" s="21"/>
      <c r="D50" s="21"/>
      <c r="E50" s="21"/>
      <c r="F50" s="21"/>
      <c r="G50" s="21"/>
      <c r="H50" s="21"/>
      <c r="I50" s="21"/>
      <c r="J50" s="21"/>
      <c r="K50" s="21"/>
      <c r="L50" s="21"/>
    </row>
    <row r="51">
      <c r="A51" s="21"/>
      <c r="B51" s="21"/>
      <c r="C51" s="21"/>
      <c r="D51" s="21"/>
      <c r="E51" s="21"/>
      <c r="F51" s="21"/>
      <c r="G51" s="21"/>
      <c r="H51" s="21"/>
      <c r="I51" s="21"/>
      <c r="J51" s="21"/>
      <c r="K51" s="21"/>
      <c r="L51" s="21"/>
    </row>
    <row r="52">
      <c r="A52" s="21"/>
      <c r="B52" s="21"/>
      <c r="C52" s="21"/>
      <c r="D52" s="21"/>
      <c r="E52" s="21"/>
      <c r="F52" s="21"/>
      <c r="G52" s="21"/>
      <c r="H52" s="21"/>
      <c r="I52" s="21"/>
      <c r="J52" s="21"/>
      <c r="K52" s="21"/>
      <c r="L52" s="21"/>
    </row>
    <row r="53">
      <c r="A53" s="21"/>
      <c r="B53" s="21"/>
      <c r="C53" s="21"/>
      <c r="D53" s="21"/>
      <c r="E53" s="21"/>
      <c r="F53" s="21"/>
      <c r="G53" s="21"/>
      <c r="H53" s="21"/>
      <c r="I53" s="21"/>
      <c r="J53" s="21"/>
      <c r="K53" s="21"/>
      <c r="L53" s="21"/>
    </row>
    <row r="54">
      <c r="A54" s="21"/>
      <c r="B54" s="21"/>
      <c r="C54" s="21"/>
      <c r="D54" s="21"/>
      <c r="E54" s="21"/>
      <c r="F54" s="21"/>
      <c r="G54" s="21"/>
      <c r="H54" s="21"/>
      <c r="I54" s="21"/>
      <c r="J54" s="21"/>
      <c r="K54" s="21"/>
      <c r="L54" s="21"/>
    </row>
    <row r="55">
      <c r="A55" s="21"/>
      <c r="B55" s="21"/>
      <c r="C55" s="21"/>
      <c r="D55" s="21"/>
      <c r="E55" s="21"/>
      <c r="F55" s="21"/>
      <c r="G55" s="21"/>
      <c r="H55" s="21"/>
      <c r="I55" s="21"/>
      <c r="J55" s="21"/>
      <c r="K55" s="21"/>
      <c r="L55" s="21"/>
    </row>
    <row r="56">
      <c r="A56" s="21"/>
      <c r="B56" s="21"/>
      <c r="C56" s="21"/>
      <c r="D56" s="21"/>
      <c r="E56" s="21"/>
      <c r="F56" s="21"/>
      <c r="G56" s="21"/>
      <c r="H56" s="21"/>
      <c r="I56" s="21"/>
      <c r="J56" s="21"/>
      <c r="K56" s="21"/>
      <c r="L56" s="21"/>
    </row>
    <row r="57">
      <c r="A57" s="21"/>
      <c r="B57" s="21"/>
      <c r="C57" s="21"/>
      <c r="D57" s="21"/>
      <c r="E57" s="21"/>
      <c r="F57" s="21"/>
      <c r="G57" s="21"/>
      <c r="H57" s="21"/>
      <c r="I57" s="21"/>
      <c r="J57" s="21"/>
      <c r="K57" s="21"/>
      <c r="L57" s="21"/>
    </row>
    <row r="58">
      <c r="A58" s="21"/>
      <c r="B58" s="21"/>
      <c r="C58" s="21"/>
      <c r="D58" s="21"/>
      <c r="E58" s="21"/>
      <c r="F58" s="21"/>
      <c r="G58" s="21"/>
      <c r="H58" s="21"/>
      <c r="I58" s="21"/>
      <c r="J58" s="21"/>
      <c r="K58" s="21"/>
      <c r="L58" s="21"/>
    </row>
    <row r="59">
      <c r="A59" s="21"/>
      <c r="B59" s="21"/>
      <c r="C59" s="21"/>
      <c r="D59" s="21"/>
      <c r="E59" s="21"/>
      <c r="F59" s="21"/>
      <c r="G59" s="21"/>
      <c r="H59" s="21"/>
      <c r="I59" s="21"/>
      <c r="J59" s="21"/>
      <c r="K59" s="21"/>
      <c r="L59" s="21"/>
    </row>
    <row r="60">
      <c r="A60" s="21"/>
      <c r="B60" s="21"/>
      <c r="C60" s="21"/>
      <c r="D60" s="21"/>
      <c r="E60" s="21"/>
      <c r="F60" s="21"/>
      <c r="G60" s="21"/>
      <c r="H60" s="21"/>
      <c r="I60" s="21"/>
      <c r="J60" s="21"/>
      <c r="K60" s="21"/>
      <c r="L60" s="21"/>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row r="988">
      <c r="C988" s="24"/>
      <c r="F988" s="24"/>
      <c r="H988" s="24"/>
      <c r="I988" s="24"/>
      <c r="J988" s="24"/>
    </row>
    <row r="989">
      <c r="C989" s="24"/>
      <c r="F989" s="24"/>
      <c r="H989" s="24"/>
      <c r="I989" s="24"/>
      <c r="J989" s="24"/>
    </row>
    <row r="990">
      <c r="C990" s="24"/>
      <c r="F990" s="24"/>
      <c r="H990" s="24"/>
      <c r="I990" s="24"/>
      <c r="J990" s="24"/>
    </row>
    <row r="991">
      <c r="C991" s="24"/>
      <c r="F991" s="24"/>
      <c r="H991" s="24"/>
      <c r="I991" s="24"/>
      <c r="J991" s="24"/>
    </row>
    <row r="992">
      <c r="C992" s="24"/>
      <c r="F992" s="24"/>
      <c r="H992" s="24"/>
      <c r="I992" s="24"/>
      <c r="J992" s="24"/>
    </row>
    <row r="993">
      <c r="C993" s="24"/>
      <c r="F993" s="24"/>
      <c r="H993" s="24"/>
      <c r="I993" s="24"/>
      <c r="J993" s="24"/>
    </row>
    <row r="994">
      <c r="C994" s="24"/>
      <c r="F994" s="24"/>
      <c r="H994" s="24"/>
      <c r="I994" s="24"/>
      <c r="J994" s="24"/>
    </row>
    <row r="995">
      <c r="C995" s="24"/>
      <c r="F995" s="24"/>
      <c r="H995" s="24"/>
      <c r="I995" s="24"/>
      <c r="J995" s="24"/>
    </row>
    <row r="996">
      <c r="C996" s="24"/>
      <c r="F996" s="24"/>
      <c r="H996" s="24"/>
      <c r="I996" s="24"/>
      <c r="J996" s="24"/>
    </row>
    <row r="997">
      <c r="C997" s="24"/>
      <c r="F997" s="24"/>
      <c r="H997" s="24"/>
      <c r="I997" s="24"/>
      <c r="J997" s="24"/>
    </row>
    <row r="998">
      <c r="C998" s="24"/>
      <c r="F998" s="24"/>
      <c r="H998" s="24"/>
      <c r="I998" s="24"/>
      <c r="J998" s="24"/>
    </row>
    <row r="999">
      <c r="C999" s="24"/>
      <c r="F999" s="24"/>
      <c r="H999" s="24"/>
      <c r="I999" s="24"/>
      <c r="J999" s="24"/>
    </row>
    <row r="1000">
      <c r="C1000" s="24"/>
      <c r="F1000" s="24"/>
      <c r="H1000" s="24"/>
      <c r="I1000" s="24"/>
      <c r="J1000" s="24"/>
    </row>
    <row r="1001">
      <c r="C1001" s="24"/>
      <c r="F1001" s="24"/>
      <c r="H1001" s="24"/>
      <c r="I1001" s="24"/>
      <c r="J1001" s="24"/>
    </row>
    <row r="1002">
      <c r="C1002" s="24"/>
      <c r="F1002" s="24"/>
      <c r="H1002" s="24"/>
      <c r="I1002" s="24"/>
      <c r="J1002" s="24"/>
    </row>
    <row r="1003">
      <c r="C1003" s="24"/>
      <c r="F1003" s="24"/>
      <c r="H1003" s="24"/>
      <c r="I1003" s="24"/>
      <c r="J1003" s="24"/>
    </row>
    <row r="1004">
      <c r="C1004" s="24"/>
      <c r="F1004" s="24"/>
      <c r="H1004" s="24"/>
      <c r="I1004" s="24"/>
      <c r="J1004" s="24"/>
    </row>
    <row r="1005">
      <c r="C1005" s="24"/>
      <c r="F1005" s="24"/>
      <c r="H1005" s="24"/>
      <c r="I1005" s="24"/>
      <c r="J1005" s="24"/>
    </row>
  </sheetData>
  <mergeCells count="1">
    <mergeCell ref="O1:P1"/>
  </mergeCells>
  <conditionalFormatting sqref="H1:H1005">
    <cfRule type="cellIs" dxfId="0" priority="1" operator="equal">
      <formula>"Y"</formula>
    </cfRule>
  </conditionalFormatting>
  <conditionalFormatting sqref="H1:H1005">
    <cfRule type="containsText" dxfId="1" priority="2" operator="containsText" text="N">
      <formula>NOT(ISERROR(SEARCH(("N"),(H1))))</formula>
    </cfRule>
  </conditionalFormatting>
  <dataValidations>
    <dataValidation type="list" allowBlank="1" sqref="C7:C1005 I7:I1005">
      <formula1>"P1,P2,P3,P4,P5"</formula1>
    </dataValidation>
    <dataValidation type="list" allowBlank="1" sqref="F7:F1005 J7:J1005">
      <formula1>BaseData!$A$2:$A$29</formula1>
    </dataValidation>
    <dataValidation type="list" allowBlank="1" sqref="H7:H1005">
      <formula1>"Y,N"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4.5"/>
    <col customWidth="1" min="3" max="3" width="7.25"/>
    <col customWidth="1" min="4" max="4" width="20.5"/>
    <col customWidth="1" min="5" max="5" width="9.13"/>
    <col customWidth="1" min="6" max="6" width="18.63"/>
    <col customWidth="1" min="7" max="7" width="8.75"/>
    <col customWidth="1" min="8" max="8" width="11.0"/>
    <col customWidth="1" min="9" max="9" width="9.75"/>
    <col customWidth="1" min="10" max="10" width="15.5"/>
    <col customWidth="1" min="11" max="11" width="10.88"/>
    <col customWidth="1" min="12" max="12" width="38.88"/>
    <col customWidth="1" min="13" max="13" width="21.0"/>
    <col customWidth="1" min="14" max="14" width="22.75"/>
    <col customWidth="1" min="15" max="15" width="24.88"/>
    <col customWidth="1" min="16" max="16" width="5.75"/>
    <col customWidth="1" min="17" max="17" width="23.25"/>
  </cols>
  <sheetData>
    <row r="1">
      <c r="J1" s="8"/>
      <c r="O1" s="9" t="s">
        <v>36</v>
      </c>
      <c r="P1" s="10" t="s">
        <v>37</v>
      </c>
      <c r="Q1" s="11"/>
    </row>
    <row r="2">
      <c r="A2" s="8"/>
      <c r="B2" s="8"/>
      <c r="E2" s="8"/>
      <c r="F2" s="12" t="s">
        <v>25</v>
      </c>
      <c r="G2" s="1">
        <f>countifs(A:A,"&lt;&gt;NEW",A:A,"&lt;&gt;")-1</f>
        <v>43</v>
      </c>
      <c r="I2" s="8"/>
      <c r="J2" s="8"/>
      <c r="O2" s="13" t="s">
        <v>160</v>
      </c>
      <c r="P2" s="14" t="s">
        <v>39</v>
      </c>
      <c r="Q2" s="15" t="s">
        <v>40</v>
      </c>
    </row>
    <row r="3">
      <c r="A3" s="8"/>
      <c r="B3" s="8"/>
      <c r="D3" s="16"/>
      <c r="E3" s="8"/>
      <c r="F3" s="17" t="s">
        <v>41</v>
      </c>
      <c r="G3" s="18">
        <f>countif(H:H,"=Y")</f>
        <v>17</v>
      </c>
      <c r="H3" s="8"/>
      <c r="I3" s="8"/>
      <c r="J3" s="8"/>
      <c r="O3" s="19" t="s">
        <v>161</v>
      </c>
      <c r="P3" s="14" t="s">
        <v>43</v>
      </c>
      <c r="Q3" s="15" t="s">
        <v>44</v>
      </c>
    </row>
    <row r="4">
      <c r="A4" s="8"/>
      <c r="B4" s="8"/>
      <c r="E4" s="8"/>
      <c r="F4" s="17" t="s">
        <v>45</v>
      </c>
      <c r="G4" s="18">
        <f>COUNTIF(A:A,"=NEW")</f>
        <v>0</v>
      </c>
      <c r="H4" s="8"/>
      <c r="I4" s="8"/>
      <c r="J4" s="8"/>
      <c r="O4" s="27" t="s">
        <v>162</v>
      </c>
      <c r="P4" s="14" t="s">
        <v>47</v>
      </c>
      <c r="Q4" s="15" t="s">
        <v>48</v>
      </c>
    </row>
    <row r="5">
      <c r="A5" s="8"/>
      <c r="B5" s="8"/>
      <c r="C5" s="8"/>
      <c r="D5" s="8"/>
      <c r="E5" s="8"/>
      <c r="F5" s="8"/>
      <c r="G5" s="8"/>
      <c r="H5" s="8"/>
      <c r="I5" s="8"/>
      <c r="J5" s="8"/>
      <c r="O5" s="27" t="s">
        <v>163</v>
      </c>
      <c r="P5" s="14" t="s">
        <v>50</v>
      </c>
      <c r="Q5" s="15" t="s">
        <v>51</v>
      </c>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165</v>
      </c>
      <c r="O6" s="27" t="s">
        <v>166</v>
      </c>
      <c r="P6" s="14" t="s">
        <v>65</v>
      </c>
      <c r="Q6" s="15" t="s">
        <v>66</v>
      </c>
    </row>
    <row r="7">
      <c r="A7" s="19" t="s">
        <v>167</v>
      </c>
      <c r="B7" s="19" t="s">
        <v>168</v>
      </c>
      <c r="C7" s="19" t="s">
        <v>169</v>
      </c>
      <c r="D7" s="19" t="s">
        <v>170</v>
      </c>
      <c r="E7" s="19" t="s">
        <v>171</v>
      </c>
      <c r="F7" s="19"/>
      <c r="G7" s="19" t="s">
        <v>172</v>
      </c>
      <c r="H7" s="19" t="s">
        <v>143</v>
      </c>
      <c r="I7" s="19" t="s">
        <v>169</v>
      </c>
      <c r="J7" s="19" t="s">
        <v>173</v>
      </c>
      <c r="K7" s="25" t="str">
        <f>HYPERLINK("https://maxxton.atlassian.net/browse/QA-24859","QA-24859")</f>
        <v>QA-24859</v>
      </c>
      <c r="L7" s="19" t="s">
        <v>174</v>
      </c>
      <c r="M7" s="8">
        <v>2.0</v>
      </c>
      <c r="O7" s="27" t="s">
        <v>175</v>
      </c>
      <c r="P7" s="20" t="s">
        <v>68</v>
      </c>
      <c r="Q7" s="20" t="s">
        <v>69</v>
      </c>
    </row>
    <row r="8">
      <c r="A8" s="19" t="s">
        <v>176</v>
      </c>
      <c r="B8" s="19" t="s">
        <v>177</v>
      </c>
      <c r="C8" s="19" t="s">
        <v>169</v>
      </c>
      <c r="D8" s="19" t="s">
        <v>178</v>
      </c>
      <c r="E8" s="19" t="s">
        <v>171</v>
      </c>
      <c r="F8" s="19"/>
      <c r="G8" s="19" t="s">
        <v>179</v>
      </c>
      <c r="H8" s="19" t="s">
        <v>143</v>
      </c>
      <c r="I8" s="19" t="s">
        <v>169</v>
      </c>
      <c r="J8" s="19" t="s">
        <v>180</v>
      </c>
      <c r="K8" s="25" t="str">
        <f>HYPERLINK("https://maxxton.atlassian.net/browse/QA-24860","QA-24860")</f>
        <v>QA-24860</v>
      </c>
      <c r="L8" s="19" t="s">
        <v>174</v>
      </c>
      <c r="M8" s="8">
        <v>2.0</v>
      </c>
      <c r="O8" s="27" t="s">
        <v>181</v>
      </c>
      <c r="P8" s="20" t="s">
        <v>71</v>
      </c>
      <c r="Q8" s="20" t="s">
        <v>72</v>
      </c>
    </row>
    <row r="9">
      <c r="A9" s="19" t="s">
        <v>182</v>
      </c>
      <c r="B9" s="19" t="s">
        <v>183</v>
      </c>
      <c r="C9" s="19" t="s">
        <v>169</v>
      </c>
      <c r="D9" s="19" t="s">
        <v>184</v>
      </c>
      <c r="E9" s="19" t="s">
        <v>171</v>
      </c>
      <c r="F9" s="19"/>
      <c r="G9" s="19" t="s">
        <v>179</v>
      </c>
      <c r="H9" s="19" t="s">
        <v>143</v>
      </c>
      <c r="I9" s="19" t="s">
        <v>169</v>
      </c>
      <c r="J9" s="19" t="s">
        <v>180</v>
      </c>
      <c r="K9" s="25" t="str">
        <f>HYPERLINK("https://maxxton.atlassian.net/browse/QA-24861","QA-24861")</f>
        <v>QA-24861</v>
      </c>
      <c r="L9" s="19" t="s">
        <v>174</v>
      </c>
      <c r="M9" s="8">
        <v>2.0</v>
      </c>
      <c r="O9" s="27"/>
      <c r="P9" s="20" t="s">
        <v>74</v>
      </c>
      <c r="Q9" s="20" t="s">
        <v>75</v>
      </c>
    </row>
    <row r="10">
      <c r="A10" s="19" t="s">
        <v>185</v>
      </c>
      <c r="B10" s="19" t="s">
        <v>186</v>
      </c>
      <c r="C10" s="19" t="s">
        <v>135</v>
      </c>
      <c r="D10" s="19" t="s">
        <v>184</v>
      </c>
      <c r="E10" s="19" t="s">
        <v>171</v>
      </c>
      <c r="F10" s="19"/>
      <c r="G10" s="19" t="s">
        <v>187</v>
      </c>
      <c r="H10" s="19" t="s">
        <v>98</v>
      </c>
      <c r="I10" s="19" t="s">
        <v>135</v>
      </c>
      <c r="J10" s="19" t="s">
        <v>173</v>
      </c>
      <c r="K10" s="25" t="str">
        <f>HYPERLINK("https://maxxton.atlassian.net/browse/QA-22977","QA-22977")</f>
        <v>QA-22977</v>
      </c>
      <c r="L10" s="19" t="s">
        <v>188</v>
      </c>
      <c r="O10" s="27"/>
      <c r="P10" s="20"/>
      <c r="Q10" s="20"/>
    </row>
    <row r="11">
      <c r="A11" s="19" t="s">
        <v>189</v>
      </c>
      <c r="B11" s="19" t="s">
        <v>190</v>
      </c>
      <c r="C11" s="19" t="s">
        <v>135</v>
      </c>
      <c r="D11" s="19" t="s">
        <v>178</v>
      </c>
      <c r="E11" s="19" t="s">
        <v>171</v>
      </c>
      <c r="F11" s="19"/>
      <c r="G11" s="19" t="s">
        <v>187</v>
      </c>
      <c r="H11" s="19" t="s">
        <v>98</v>
      </c>
      <c r="I11" s="19" t="s">
        <v>135</v>
      </c>
      <c r="J11" s="19" t="s">
        <v>173</v>
      </c>
      <c r="K11" s="25" t="str">
        <f>HYPERLINK("https://maxxton.atlassian.net/browse/QA-22978","QA-22978")</f>
        <v>QA-22978</v>
      </c>
      <c r="L11" s="19" t="s">
        <v>188</v>
      </c>
      <c r="O11" s="27"/>
      <c r="P11" s="20"/>
      <c r="Q11" s="20"/>
    </row>
    <row r="12">
      <c r="A12" s="19" t="s">
        <v>191</v>
      </c>
      <c r="B12" s="19" t="s">
        <v>192</v>
      </c>
      <c r="C12" s="19" t="s">
        <v>135</v>
      </c>
      <c r="D12" s="19" t="s">
        <v>170</v>
      </c>
      <c r="E12" s="19" t="s">
        <v>171</v>
      </c>
      <c r="F12" s="19"/>
      <c r="G12" s="19" t="s">
        <v>187</v>
      </c>
      <c r="H12" s="19" t="s">
        <v>98</v>
      </c>
      <c r="I12" s="19" t="s">
        <v>135</v>
      </c>
      <c r="J12" s="19" t="s">
        <v>173</v>
      </c>
      <c r="K12" s="25" t="str">
        <f>HYPERLINK("https://maxxton.atlassian.net/browse/QA-22979","QA-22979")</f>
        <v>QA-22979</v>
      </c>
      <c r="L12" s="19" t="s">
        <v>188</v>
      </c>
      <c r="P12" s="20"/>
      <c r="Q12" s="20"/>
    </row>
    <row r="13">
      <c r="A13" s="19" t="s">
        <v>193</v>
      </c>
      <c r="B13" s="19" t="s">
        <v>194</v>
      </c>
      <c r="C13" s="19" t="s">
        <v>169</v>
      </c>
      <c r="D13" s="19" t="s">
        <v>195</v>
      </c>
      <c r="E13" s="19" t="s">
        <v>171</v>
      </c>
      <c r="F13" s="19"/>
      <c r="G13" s="19" t="s">
        <v>187</v>
      </c>
      <c r="H13" s="19" t="s">
        <v>143</v>
      </c>
      <c r="I13" s="19" t="s">
        <v>169</v>
      </c>
      <c r="J13" s="19" t="s">
        <v>180</v>
      </c>
      <c r="K13" s="26" t="str">
        <f>HYPERLINK("https://maxxton.atlassian.net/browse/QA-24862","QA-24862")</f>
        <v>QA-24862</v>
      </c>
      <c r="L13" s="19" t="s">
        <v>174</v>
      </c>
      <c r="M13" s="8">
        <v>1.0</v>
      </c>
      <c r="P13" s="20"/>
      <c r="Q13" s="20"/>
    </row>
    <row r="14">
      <c r="A14" s="19" t="s">
        <v>196</v>
      </c>
      <c r="B14" s="19" t="s">
        <v>197</v>
      </c>
      <c r="C14" s="19" t="s">
        <v>169</v>
      </c>
      <c r="D14" s="19" t="s">
        <v>198</v>
      </c>
      <c r="E14" s="19" t="s">
        <v>171</v>
      </c>
      <c r="F14" s="19"/>
      <c r="G14" s="19" t="s">
        <v>199</v>
      </c>
      <c r="H14" s="19" t="s">
        <v>143</v>
      </c>
      <c r="I14" s="19" t="s">
        <v>169</v>
      </c>
      <c r="J14" s="19" t="s">
        <v>180</v>
      </c>
      <c r="K14" s="26" t="str">
        <f>HYPERLINK("https://maxxton.atlassian.net/browse/QA-24863","QA-24863")</f>
        <v>QA-24863</v>
      </c>
      <c r="L14" s="19" t="s">
        <v>174</v>
      </c>
      <c r="M14" s="8">
        <v>1.0</v>
      </c>
      <c r="O14" s="14"/>
      <c r="P14" s="20"/>
      <c r="Q14" s="20"/>
    </row>
    <row r="15">
      <c r="A15" s="19" t="s">
        <v>200</v>
      </c>
      <c r="B15" s="19" t="s">
        <v>201</v>
      </c>
      <c r="C15" s="19" t="s">
        <v>169</v>
      </c>
      <c r="D15" s="19" t="s">
        <v>202</v>
      </c>
      <c r="E15" s="19" t="s">
        <v>171</v>
      </c>
      <c r="F15" s="19"/>
      <c r="G15" s="19" t="s">
        <v>199</v>
      </c>
      <c r="H15" s="19" t="s">
        <v>143</v>
      </c>
      <c r="I15" s="19" t="s">
        <v>169</v>
      </c>
      <c r="J15" s="19" t="s">
        <v>173</v>
      </c>
      <c r="K15" s="26" t="str">
        <f>HYPERLINK("https://maxxton.atlassian.net/browse/QA-24864","QA-24864")</f>
        <v>QA-24864</v>
      </c>
      <c r="L15" s="19" t="s">
        <v>174</v>
      </c>
      <c r="M15" s="8" t="s">
        <v>172</v>
      </c>
      <c r="O15" s="14"/>
      <c r="P15" s="20"/>
      <c r="Q15" s="20"/>
    </row>
    <row r="16">
      <c r="A16" s="19" t="s">
        <v>203</v>
      </c>
      <c r="B16" s="19" t="s">
        <v>204</v>
      </c>
      <c r="C16" s="19" t="s">
        <v>169</v>
      </c>
      <c r="D16" s="29" t="s">
        <v>205</v>
      </c>
      <c r="E16" s="19" t="s">
        <v>171</v>
      </c>
      <c r="F16" s="19"/>
      <c r="G16" s="19" t="s">
        <v>187</v>
      </c>
      <c r="H16" s="19" t="s">
        <v>143</v>
      </c>
      <c r="I16" s="19" t="s">
        <v>169</v>
      </c>
      <c r="J16" s="19" t="s">
        <v>206</v>
      </c>
      <c r="K16" s="26" t="str">
        <f>HYPERLINK("https://maxxton.atlassian.net/browse/QA-24865","QA-24865")</f>
        <v>QA-24865</v>
      </c>
      <c r="L16" s="19" t="s">
        <v>174</v>
      </c>
      <c r="M16" s="8">
        <v>1.0</v>
      </c>
      <c r="O16" s="14"/>
      <c r="P16" s="20"/>
      <c r="Q16" s="20"/>
    </row>
    <row r="17">
      <c r="A17" s="19" t="s">
        <v>207</v>
      </c>
      <c r="B17" s="19" t="s">
        <v>208</v>
      </c>
      <c r="C17" s="19" t="s">
        <v>169</v>
      </c>
      <c r="D17" s="29" t="s">
        <v>209</v>
      </c>
      <c r="E17" s="19" t="s">
        <v>171</v>
      </c>
      <c r="F17" s="19"/>
      <c r="G17" s="19" t="s">
        <v>179</v>
      </c>
      <c r="H17" s="19" t="s">
        <v>98</v>
      </c>
      <c r="I17" s="19" t="s">
        <v>169</v>
      </c>
      <c r="J17" s="19" t="s">
        <v>206</v>
      </c>
      <c r="K17" s="26" t="str">
        <f>HYPERLINK("https://maxxton.atlassian.net/browse/QA-22740","QA-22740")</f>
        <v>QA-22740</v>
      </c>
      <c r="L17" s="19" t="s">
        <v>210</v>
      </c>
      <c r="M17" s="8" t="s">
        <v>172</v>
      </c>
      <c r="O17" s="14"/>
      <c r="P17" s="20"/>
      <c r="Q17" s="20"/>
    </row>
    <row r="18">
      <c r="A18" s="19" t="s">
        <v>211</v>
      </c>
      <c r="B18" s="19" t="s">
        <v>212</v>
      </c>
      <c r="C18" s="19" t="s">
        <v>169</v>
      </c>
      <c r="D18" s="29" t="s">
        <v>213</v>
      </c>
      <c r="E18" s="19" t="s">
        <v>171</v>
      </c>
      <c r="F18" s="19"/>
      <c r="G18" s="19" t="s">
        <v>187</v>
      </c>
      <c r="H18" s="19" t="s">
        <v>143</v>
      </c>
      <c r="I18" s="19" t="s">
        <v>169</v>
      </c>
      <c r="J18" s="19" t="s">
        <v>173</v>
      </c>
      <c r="K18" s="26" t="str">
        <f>HYPERLINK("https://maxxton.atlassian.net/browse/QA-24866","QA-24866")</f>
        <v>QA-24866</v>
      </c>
      <c r="L18" s="19" t="s">
        <v>174</v>
      </c>
      <c r="M18" s="8">
        <v>2.0</v>
      </c>
      <c r="O18" s="14"/>
      <c r="P18" s="20"/>
      <c r="Q18" s="20"/>
    </row>
    <row r="19">
      <c r="A19" s="19" t="s">
        <v>214</v>
      </c>
      <c r="B19" s="19" t="s">
        <v>215</v>
      </c>
      <c r="C19" s="19" t="s">
        <v>135</v>
      </c>
      <c r="D19" s="29" t="s">
        <v>213</v>
      </c>
      <c r="E19" s="19" t="s">
        <v>171</v>
      </c>
      <c r="F19" s="19"/>
      <c r="G19" s="19" t="s">
        <v>216</v>
      </c>
      <c r="H19" s="19" t="s">
        <v>98</v>
      </c>
      <c r="I19" s="19" t="s">
        <v>135</v>
      </c>
      <c r="J19" s="19" t="s">
        <v>206</v>
      </c>
      <c r="K19" s="26" t="str">
        <f>HYPERLINK("https://maxxton.atlassian.net/browse/QA-22980","QA-22980")</f>
        <v>QA-22980</v>
      </c>
      <c r="L19" s="19" t="s">
        <v>188</v>
      </c>
      <c r="O19" s="14"/>
      <c r="P19" s="20"/>
      <c r="Q19" s="20"/>
    </row>
    <row r="20">
      <c r="A20" s="19" t="s">
        <v>217</v>
      </c>
      <c r="B20" s="19" t="s">
        <v>218</v>
      </c>
      <c r="C20" s="19" t="s">
        <v>169</v>
      </c>
      <c r="D20" s="29" t="s">
        <v>219</v>
      </c>
      <c r="E20" s="19" t="s">
        <v>171</v>
      </c>
      <c r="F20" s="19"/>
      <c r="G20" s="19" t="s">
        <v>199</v>
      </c>
      <c r="H20" s="19" t="s">
        <v>143</v>
      </c>
      <c r="I20" s="19" t="s">
        <v>169</v>
      </c>
      <c r="J20" s="19" t="s">
        <v>206</v>
      </c>
      <c r="K20" s="26" t="str">
        <f>HYPERLINK("https://maxxton.atlassian.net/browse/QA-24867","QA-24867")</f>
        <v>QA-24867</v>
      </c>
      <c r="L20" s="19" t="s">
        <v>174</v>
      </c>
      <c r="M20" s="8" t="s">
        <v>172</v>
      </c>
      <c r="O20" s="14"/>
      <c r="P20" s="20"/>
      <c r="Q20" s="20"/>
    </row>
    <row r="21">
      <c r="A21" s="19" t="s">
        <v>220</v>
      </c>
      <c r="B21" s="19" t="s">
        <v>221</v>
      </c>
      <c r="C21" s="19" t="s">
        <v>169</v>
      </c>
      <c r="D21" s="29" t="s">
        <v>219</v>
      </c>
      <c r="E21" s="19" t="s">
        <v>171</v>
      </c>
      <c r="F21" s="19"/>
      <c r="G21" s="19" t="s">
        <v>199</v>
      </c>
      <c r="H21" s="19" t="s">
        <v>143</v>
      </c>
      <c r="I21" s="19" t="s">
        <v>169</v>
      </c>
      <c r="J21" s="19" t="s">
        <v>173</v>
      </c>
      <c r="K21" s="26" t="str">
        <f>HYPERLINK("https://maxxton.atlassian.net/browse/QA-24868","QA-24868")</f>
        <v>QA-24868</v>
      </c>
      <c r="L21" s="19" t="s">
        <v>174</v>
      </c>
      <c r="M21" s="8" t="s">
        <v>172</v>
      </c>
      <c r="O21" s="14"/>
      <c r="P21" s="20"/>
      <c r="Q21" s="20"/>
    </row>
    <row r="22">
      <c r="A22" s="19" t="s">
        <v>222</v>
      </c>
      <c r="B22" s="19" t="s">
        <v>223</v>
      </c>
      <c r="C22" s="19" t="s">
        <v>169</v>
      </c>
      <c r="D22" s="29" t="s">
        <v>224</v>
      </c>
      <c r="E22" s="19" t="s">
        <v>171</v>
      </c>
      <c r="F22" s="19"/>
      <c r="G22" s="19" t="s">
        <v>179</v>
      </c>
      <c r="H22" s="19" t="s">
        <v>143</v>
      </c>
      <c r="I22" s="19" t="s">
        <v>169</v>
      </c>
      <c r="J22" s="19" t="s">
        <v>206</v>
      </c>
      <c r="K22" s="26" t="str">
        <f>HYPERLINK("https://maxxton.atlassian.net/browse/QA-24869","QA-24869")</f>
        <v>QA-24869</v>
      </c>
      <c r="L22" s="19" t="s">
        <v>174</v>
      </c>
      <c r="M22" s="8" t="s">
        <v>225</v>
      </c>
      <c r="O22" s="14"/>
      <c r="P22" s="20"/>
      <c r="Q22" s="20"/>
    </row>
    <row r="23">
      <c r="A23" s="19" t="s">
        <v>226</v>
      </c>
      <c r="B23" s="19" t="s">
        <v>227</v>
      </c>
      <c r="C23" s="19" t="s">
        <v>169</v>
      </c>
      <c r="D23" s="29" t="s">
        <v>228</v>
      </c>
      <c r="E23" s="19" t="s">
        <v>171</v>
      </c>
      <c r="F23" s="19"/>
      <c r="G23" s="19" t="s">
        <v>179</v>
      </c>
      <c r="H23" s="19" t="s">
        <v>143</v>
      </c>
      <c r="I23" s="19" t="s">
        <v>169</v>
      </c>
      <c r="J23" s="19" t="s">
        <v>206</v>
      </c>
      <c r="K23" s="26" t="str">
        <f>HYPERLINK("https://maxxton.atlassian.net/browse/QA-24870","QA-24870")</f>
        <v>QA-24870</v>
      </c>
      <c r="L23" s="19" t="s">
        <v>174</v>
      </c>
      <c r="M23" s="8" t="s">
        <v>225</v>
      </c>
      <c r="O23" s="14"/>
      <c r="P23" s="20"/>
      <c r="Q23" s="20"/>
    </row>
    <row r="24">
      <c r="A24" s="19" t="s">
        <v>229</v>
      </c>
      <c r="B24" s="19" t="s">
        <v>230</v>
      </c>
      <c r="C24" s="19" t="s">
        <v>169</v>
      </c>
      <c r="D24" s="29" t="s">
        <v>228</v>
      </c>
      <c r="E24" s="19" t="s">
        <v>171</v>
      </c>
      <c r="F24" s="19"/>
      <c r="G24" s="19" t="s">
        <v>187</v>
      </c>
      <c r="H24" s="19" t="s">
        <v>143</v>
      </c>
      <c r="I24" s="19" t="s">
        <v>169</v>
      </c>
      <c r="J24" s="19" t="s">
        <v>173</v>
      </c>
      <c r="K24" s="26" t="str">
        <f>HYPERLINK("https://maxxton.atlassian.net/browse/QA-24871","QA-24871")</f>
        <v>QA-24871</v>
      </c>
      <c r="L24" s="19" t="s">
        <v>174</v>
      </c>
      <c r="M24" s="8" t="s">
        <v>231</v>
      </c>
      <c r="O24" s="22"/>
      <c r="P24" s="20"/>
      <c r="Q24" s="20"/>
    </row>
    <row r="25">
      <c r="A25" s="29" t="s">
        <v>232</v>
      </c>
      <c r="B25" s="30" t="s">
        <v>233</v>
      </c>
      <c r="C25" s="19" t="s">
        <v>169</v>
      </c>
      <c r="D25" s="29" t="s">
        <v>234</v>
      </c>
      <c r="E25" s="19" t="s">
        <v>171</v>
      </c>
      <c r="F25" s="19"/>
      <c r="G25" s="19" t="s">
        <v>179</v>
      </c>
      <c r="H25" s="19" t="s">
        <v>143</v>
      </c>
      <c r="I25" s="19" t="s">
        <v>169</v>
      </c>
      <c r="J25" s="19" t="s">
        <v>206</v>
      </c>
      <c r="K25" s="26" t="str">
        <f>HYPERLINK("https://maxxton.atlassian.net/browse/QA-24872","QA-24872")</f>
        <v>QA-24872</v>
      </c>
      <c r="L25" s="19" t="s">
        <v>174</v>
      </c>
      <c r="M25" s="19" t="s">
        <v>235</v>
      </c>
      <c r="N25" s="21"/>
      <c r="O25" s="31"/>
      <c r="P25" s="32"/>
      <c r="Q25" s="32"/>
      <c r="R25" s="21"/>
      <c r="S25" s="21"/>
      <c r="T25" s="21"/>
      <c r="U25" s="21"/>
      <c r="V25" s="21"/>
      <c r="W25" s="21"/>
      <c r="X25" s="21"/>
      <c r="Y25" s="21"/>
      <c r="Z25" s="21"/>
      <c r="AA25" s="21"/>
    </row>
    <row r="26">
      <c r="A26" s="19" t="s">
        <v>236</v>
      </c>
      <c r="B26" s="33" t="s">
        <v>237</v>
      </c>
      <c r="C26" s="19" t="s">
        <v>95</v>
      </c>
      <c r="D26" s="19" t="s">
        <v>238</v>
      </c>
      <c r="E26" s="19" t="s">
        <v>239</v>
      </c>
      <c r="F26" s="19"/>
      <c r="G26" s="19" t="s">
        <v>179</v>
      </c>
      <c r="H26" s="19" t="s">
        <v>98</v>
      </c>
      <c r="I26" s="19" t="s">
        <v>95</v>
      </c>
      <c r="J26" s="19" t="s">
        <v>206</v>
      </c>
      <c r="K26" s="26" t="str">
        <f>HYPERLINK("https://maxxton.atlassian.net/browse/QA-17792","QA-17792")</f>
        <v>QA-17792</v>
      </c>
      <c r="L26" s="19" t="s">
        <v>240</v>
      </c>
      <c r="M26" s="8" t="s">
        <v>241</v>
      </c>
      <c r="O26" s="23"/>
      <c r="P26" s="20"/>
      <c r="Q26" s="20"/>
    </row>
    <row r="27">
      <c r="A27" s="19" t="s">
        <v>242</v>
      </c>
      <c r="B27" s="33" t="s">
        <v>243</v>
      </c>
      <c r="C27" s="19" t="s">
        <v>95</v>
      </c>
      <c r="D27" s="19" t="s">
        <v>238</v>
      </c>
      <c r="E27" s="19" t="s">
        <v>239</v>
      </c>
      <c r="F27" s="19"/>
      <c r="G27" s="19" t="s">
        <v>172</v>
      </c>
      <c r="H27" s="19" t="s">
        <v>98</v>
      </c>
      <c r="I27" s="19" t="s">
        <v>95</v>
      </c>
      <c r="J27" s="19" t="s">
        <v>206</v>
      </c>
      <c r="K27" s="26" t="str">
        <f>HYPERLINK("https://maxxton.atlassian.net/browse/QA-17793","QA-17793")</f>
        <v>QA-17793</v>
      </c>
      <c r="L27" s="19" t="s">
        <v>240</v>
      </c>
      <c r="M27" s="8" t="s">
        <v>199</v>
      </c>
    </row>
    <row r="28">
      <c r="A28" s="19" t="s">
        <v>244</v>
      </c>
      <c r="B28" s="33" t="s">
        <v>245</v>
      </c>
      <c r="C28" s="19" t="s">
        <v>95</v>
      </c>
      <c r="D28" s="19" t="s">
        <v>238</v>
      </c>
      <c r="E28" s="19" t="s">
        <v>239</v>
      </c>
      <c r="F28" s="21"/>
      <c r="G28" s="19" t="s">
        <v>172</v>
      </c>
      <c r="H28" s="19" t="s">
        <v>98</v>
      </c>
      <c r="I28" s="19" t="s">
        <v>95</v>
      </c>
      <c r="J28" s="19" t="s">
        <v>206</v>
      </c>
      <c r="K28" s="26" t="str">
        <f>HYPERLINK("https://maxxton.atlassian.net/browse/QA-17794","QA-17794")</f>
        <v>QA-17794</v>
      </c>
      <c r="L28" s="19" t="s">
        <v>240</v>
      </c>
      <c r="M28" s="8" t="s">
        <v>172</v>
      </c>
    </row>
    <row r="29">
      <c r="A29" s="19" t="s">
        <v>246</v>
      </c>
      <c r="B29" s="33" t="s">
        <v>247</v>
      </c>
      <c r="C29" s="19" t="s">
        <v>95</v>
      </c>
      <c r="D29" s="19" t="s">
        <v>238</v>
      </c>
      <c r="E29" s="19" t="s">
        <v>239</v>
      </c>
      <c r="F29" s="21"/>
      <c r="G29" s="19" t="s">
        <v>172</v>
      </c>
      <c r="H29" s="19" t="s">
        <v>98</v>
      </c>
      <c r="I29" s="19" t="s">
        <v>95</v>
      </c>
      <c r="J29" s="19" t="s">
        <v>206</v>
      </c>
      <c r="K29" s="26" t="str">
        <f>HYPERLINK("https://maxxton.atlassian.net/browse/QA-17795","QA-17795")</f>
        <v>QA-17795</v>
      </c>
      <c r="L29" s="19" t="s">
        <v>240</v>
      </c>
      <c r="M29" s="8" t="s">
        <v>172</v>
      </c>
    </row>
    <row r="30">
      <c r="A30" s="19" t="s">
        <v>248</v>
      </c>
      <c r="B30" s="33" t="s">
        <v>249</v>
      </c>
      <c r="C30" s="19" t="s">
        <v>95</v>
      </c>
      <c r="D30" s="19" t="s">
        <v>238</v>
      </c>
      <c r="E30" s="19" t="s">
        <v>239</v>
      </c>
      <c r="F30" s="21"/>
      <c r="G30" s="19" t="s">
        <v>172</v>
      </c>
      <c r="H30" s="19" t="s">
        <v>98</v>
      </c>
      <c r="I30" s="19" t="s">
        <v>95</v>
      </c>
      <c r="J30" s="19" t="s">
        <v>206</v>
      </c>
      <c r="K30" s="26" t="str">
        <f>HYPERLINK("https://maxxton.atlassian.net/browse/QA-17796","QA-17796")</f>
        <v>QA-17796</v>
      </c>
      <c r="L30" s="19" t="s">
        <v>240</v>
      </c>
      <c r="M30" s="8" t="s">
        <v>172</v>
      </c>
    </row>
    <row r="31">
      <c r="A31" s="19" t="s">
        <v>250</v>
      </c>
      <c r="B31" s="33" t="s">
        <v>251</v>
      </c>
      <c r="C31" s="19" t="s">
        <v>95</v>
      </c>
      <c r="D31" s="19" t="s">
        <v>238</v>
      </c>
      <c r="E31" s="19" t="s">
        <v>239</v>
      </c>
      <c r="F31" s="21"/>
      <c r="G31" s="19" t="s">
        <v>172</v>
      </c>
      <c r="H31" s="19" t="s">
        <v>98</v>
      </c>
      <c r="I31" s="19" t="s">
        <v>95</v>
      </c>
      <c r="J31" s="19" t="s">
        <v>206</v>
      </c>
      <c r="K31" s="26" t="str">
        <f>HYPERLINK("https://maxxton.atlassian.net/browse/QA-17797","QA-17797")</f>
        <v>QA-17797</v>
      </c>
      <c r="L31" s="19" t="s">
        <v>240</v>
      </c>
      <c r="M31" s="8" t="s">
        <v>136</v>
      </c>
    </row>
    <row r="32">
      <c r="A32" s="19" t="s">
        <v>252</v>
      </c>
      <c r="B32" s="33" t="s">
        <v>253</v>
      </c>
      <c r="C32" s="19" t="s">
        <v>95</v>
      </c>
      <c r="D32" s="19" t="s">
        <v>238</v>
      </c>
      <c r="E32" s="19" t="s">
        <v>239</v>
      </c>
      <c r="F32" s="21"/>
      <c r="G32" s="19" t="s">
        <v>172</v>
      </c>
      <c r="H32" s="19" t="s">
        <v>98</v>
      </c>
      <c r="I32" s="19" t="s">
        <v>95</v>
      </c>
      <c r="J32" s="19" t="s">
        <v>206</v>
      </c>
      <c r="K32" s="26" t="str">
        <f>HYPERLINK("https://maxxton.atlassian.net/browse/QA-17798","QA-17798")</f>
        <v>QA-17798</v>
      </c>
      <c r="L32" s="19" t="s">
        <v>240</v>
      </c>
      <c r="M32" s="8" t="s">
        <v>172</v>
      </c>
    </row>
    <row r="33">
      <c r="A33" s="19" t="s">
        <v>254</v>
      </c>
      <c r="B33" s="33" t="s">
        <v>255</v>
      </c>
      <c r="C33" s="19" t="s">
        <v>95</v>
      </c>
      <c r="D33" s="19" t="s">
        <v>238</v>
      </c>
      <c r="E33" s="19" t="s">
        <v>239</v>
      </c>
      <c r="F33" s="21"/>
      <c r="G33" s="19" t="s">
        <v>172</v>
      </c>
      <c r="H33" s="19" t="s">
        <v>98</v>
      </c>
      <c r="I33" s="19" t="s">
        <v>95</v>
      </c>
      <c r="J33" s="19" t="s">
        <v>206</v>
      </c>
      <c r="K33" s="26" t="str">
        <f>HYPERLINK("https://maxxton.atlassian.net/browse/QA-17799","QA-17799")</f>
        <v>QA-17799</v>
      </c>
      <c r="L33" s="19" t="s">
        <v>240</v>
      </c>
      <c r="M33" s="8" t="s">
        <v>241</v>
      </c>
      <c r="O33" s="19" t="s">
        <v>173</v>
      </c>
      <c r="P33" s="24">
        <f>COUNTIF(J7:J41, "*Anup Sinha*")
</f>
        <v>13</v>
      </c>
    </row>
    <row r="34">
      <c r="A34" s="19" t="s">
        <v>256</v>
      </c>
      <c r="B34" s="33" t="s">
        <v>257</v>
      </c>
      <c r="C34" s="19" t="s">
        <v>169</v>
      </c>
      <c r="D34" s="34" t="s">
        <v>258</v>
      </c>
      <c r="E34" s="19" t="s">
        <v>171</v>
      </c>
      <c r="F34" s="21"/>
      <c r="G34" s="19" t="s">
        <v>179</v>
      </c>
      <c r="H34" s="19" t="s">
        <v>98</v>
      </c>
      <c r="I34" s="19" t="s">
        <v>169</v>
      </c>
      <c r="J34" s="19" t="s">
        <v>173</v>
      </c>
      <c r="K34" s="26" t="str">
        <f>HYPERLINK("https://maxxton.atlassian.net/browse/QA-22981","QA-22981")</f>
        <v>QA-22981</v>
      </c>
      <c r="L34" s="19" t="s">
        <v>188</v>
      </c>
      <c r="O34" s="19" t="s">
        <v>259</v>
      </c>
      <c r="P34" s="24">
        <f>COUNTIF(J7:J41, "*Rohan Bhegade*")
</f>
        <v>0</v>
      </c>
    </row>
    <row r="35">
      <c r="A35" s="19" t="s">
        <v>260</v>
      </c>
      <c r="B35" s="33" t="s">
        <v>261</v>
      </c>
      <c r="C35" s="19" t="s">
        <v>169</v>
      </c>
      <c r="D35" s="34" t="s">
        <v>262</v>
      </c>
      <c r="E35" s="19" t="s">
        <v>171</v>
      </c>
      <c r="F35" s="21"/>
      <c r="G35" s="19" t="s">
        <v>179</v>
      </c>
      <c r="H35" s="19" t="s">
        <v>98</v>
      </c>
      <c r="I35" s="19" t="s">
        <v>169</v>
      </c>
      <c r="J35" s="19" t="s">
        <v>173</v>
      </c>
      <c r="K35" s="26" t="str">
        <f>HYPERLINK("https://maxxton.atlassian.net/browse/QA-22982","QA-22982")</f>
        <v>QA-22982</v>
      </c>
      <c r="L35" s="19" t="s">
        <v>188</v>
      </c>
      <c r="O35" s="19" t="s">
        <v>206</v>
      </c>
      <c r="P35" s="24">
        <f>COUNTIF(J1:J41, "Aparna Shinde")</f>
        <v>16</v>
      </c>
    </row>
    <row r="36">
      <c r="A36" s="25" t="str">
        <f>HYPERLINK("https://maxxton.atlassian.net/browse/QA-10650","QA-10650")</f>
        <v>QA-10650</v>
      </c>
      <c r="B36" s="19" t="s">
        <v>263</v>
      </c>
      <c r="C36" s="19" t="s">
        <v>169</v>
      </c>
      <c r="D36" s="19" t="s">
        <v>264</v>
      </c>
      <c r="E36" s="19" t="s">
        <v>171</v>
      </c>
      <c r="F36" s="19"/>
      <c r="G36" s="19" t="s">
        <v>172</v>
      </c>
      <c r="H36" s="19" t="s">
        <v>143</v>
      </c>
      <c r="I36" s="19" t="s">
        <v>169</v>
      </c>
      <c r="J36" s="19" t="s">
        <v>173</v>
      </c>
      <c r="K36" s="26" t="str">
        <f>HYPERLINK("https://maxxton.atlassian.net/browse/QA-24873","QA-24873")</f>
        <v>QA-24873</v>
      </c>
      <c r="L36" s="19" t="s">
        <v>174</v>
      </c>
      <c r="M36" s="8">
        <v>1.0</v>
      </c>
    </row>
    <row r="37">
      <c r="A37" s="25" t="str">
        <f>HYPERLINK("https://maxxton.atlassian.net/browse/QA-11287","QA-11287")</f>
        <v>QA-11287</v>
      </c>
      <c r="B37" s="35" t="s">
        <v>265</v>
      </c>
      <c r="C37" s="19" t="s">
        <v>169</v>
      </c>
      <c r="D37" s="19" t="s">
        <v>266</v>
      </c>
      <c r="E37" s="19" t="s">
        <v>171</v>
      </c>
      <c r="F37" s="19"/>
      <c r="G37" s="19" t="s">
        <v>199</v>
      </c>
      <c r="H37" s="19" t="s">
        <v>143</v>
      </c>
      <c r="I37" s="19" t="s">
        <v>169</v>
      </c>
      <c r="J37" s="19" t="s">
        <v>180</v>
      </c>
      <c r="K37" s="26" t="str">
        <f>HYPERLINK("https://maxxton.atlassian.net/browse/QA-24874","QA-24874")</f>
        <v>QA-24874</v>
      </c>
      <c r="L37" s="19" t="s">
        <v>174</v>
      </c>
      <c r="M37" s="8">
        <v>1.0</v>
      </c>
    </row>
    <row r="38">
      <c r="A38" s="25" t="str">
        <f>HYPERLINK("https://maxxton.atlassian.net/browse/QA-14981","QA-14981")</f>
        <v>QA-14981</v>
      </c>
      <c r="B38" s="19" t="s">
        <v>267</v>
      </c>
      <c r="C38" s="19" t="s">
        <v>169</v>
      </c>
      <c r="D38" s="19" t="s">
        <v>268</v>
      </c>
      <c r="E38" s="19" t="s">
        <v>171</v>
      </c>
      <c r="F38" s="19"/>
      <c r="G38" s="19" t="s">
        <v>110</v>
      </c>
      <c r="H38" s="19" t="s">
        <v>98</v>
      </c>
      <c r="I38" s="19" t="s">
        <v>169</v>
      </c>
      <c r="J38" s="19" t="s">
        <v>206</v>
      </c>
      <c r="K38" s="26" t="str">
        <f>HYPERLINK("https://maxxton.atlassian.net/browse/QA-22985","QA-22985")</f>
        <v>QA-22985</v>
      </c>
      <c r="L38" s="19" t="s">
        <v>188</v>
      </c>
      <c r="M38" s="8">
        <v>1.0</v>
      </c>
    </row>
    <row r="39">
      <c r="A39" s="25" t="str">
        <f>HYPERLINK("https://maxxton.atlassian.net/browse/QA-15098","QA-15098")</f>
        <v>QA-15098</v>
      </c>
      <c r="B39" s="19" t="s">
        <v>269</v>
      </c>
      <c r="C39" s="19" t="s">
        <v>169</v>
      </c>
      <c r="D39" s="8" t="s">
        <v>270</v>
      </c>
      <c r="E39" s="19" t="s">
        <v>171</v>
      </c>
      <c r="F39" s="19"/>
      <c r="G39" s="19" t="s">
        <v>199</v>
      </c>
      <c r="H39" s="19" t="s">
        <v>143</v>
      </c>
      <c r="I39" s="19" t="s">
        <v>169</v>
      </c>
      <c r="J39" s="19" t="s">
        <v>180</v>
      </c>
      <c r="K39" s="26" t="str">
        <f>HYPERLINK("https://maxxton.atlassian.net/browse/QA-24875","QA-24875")</f>
        <v>QA-24875</v>
      </c>
      <c r="L39" s="19" t="s">
        <v>174</v>
      </c>
      <c r="M39" s="8">
        <v>1.0</v>
      </c>
    </row>
    <row r="40">
      <c r="A40" s="36" t="s">
        <v>271</v>
      </c>
      <c r="B40" s="37" t="s">
        <v>272</v>
      </c>
      <c r="C40" s="38" t="s">
        <v>95</v>
      </c>
      <c r="D40" s="19" t="s">
        <v>273</v>
      </c>
      <c r="E40" s="38" t="s">
        <v>171</v>
      </c>
      <c r="F40" s="38"/>
      <c r="G40" s="38" t="s">
        <v>172</v>
      </c>
      <c r="H40" s="19" t="s">
        <v>98</v>
      </c>
      <c r="I40" s="19" t="s">
        <v>95</v>
      </c>
      <c r="J40" s="19" t="s">
        <v>173</v>
      </c>
      <c r="K40" s="26" t="str">
        <f>HYPERLINK("https://maxxton.atlassian.net/browse/QA-22987","QA-22987")</f>
        <v>QA-22987</v>
      </c>
      <c r="L40" s="19" t="s">
        <v>188</v>
      </c>
      <c r="M40" s="8">
        <v>1.0</v>
      </c>
    </row>
    <row r="41">
      <c r="A41" s="39" t="str">
        <f>HYPERLINK("https://maxxton.atlassian.net/browse/QA-15100","QA-15100")</f>
        <v>QA-15100</v>
      </c>
      <c r="B41" s="37" t="s">
        <v>274</v>
      </c>
      <c r="C41" s="37" t="s">
        <v>95</v>
      </c>
      <c r="D41" s="37" t="s">
        <v>275</v>
      </c>
      <c r="E41" s="38" t="s">
        <v>171</v>
      </c>
      <c r="F41" s="37"/>
      <c r="G41" s="37" t="s">
        <v>172</v>
      </c>
      <c r="H41" s="19" t="s">
        <v>98</v>
      </c>
      <c r="I41" s="19" t="s">
        <v>95</v>
      </c>
      <c r="J41" s="19" t="s">
        <v>173</v>
      </c>
      <c r="K41" s="26" t="str">
        <f>HYPERLINK("https://maxxton.atlassian.net/browse/QA-22988","QA-22988")</f>
        <v>QA-22988</v>
      </c>
      <c r="L41" s="19" t="s">
        <v>188</v>
      </c>
      <c r="M41" s="8">
        <v>1.0</v>
      </c>
    </row>
    <row r="42">
      <c r="A42" s="25" t="str">
        <f>HYPERLINK("https://maxxton.atlassian.net/browse/QA-22963","QA-22963")</f>
        <v>QA-22963</v>
      </c>
      <c r="B42" s="19" t="s">
        <v>276</v>
      </c>
      <c r="C42" s="19" t="s">
        <v>135</v>
      </c>
      <c r="D42" s="37" t="s">
        <v>275</v>
      </c>
      <c r="E42" s="37" t="s">
        <v>171</v>
      </c>
      <c r="F42" s="19" t="s">
        <v>206</v>
      </c>
      <c r="G42" s="19" t="s">
        <v>235</v>
      </c>
      <c r="H42" s="19" t="s">
        <v>98</v>
      </c>
      <c r="I42" s="8" t="s">
        <v>135</v>
      </c>
      <c r="J42" s="19" t="s">
        <v>180</v>
      </c>
      <c r="K42" s="40" t="str">
        <f>HYPERLINK("https://maxxton.atlassian.net/browse/QA-22989","QA-22989")</f>
        <v>QA-22989</v>
      </c>
      <c r="L42" s="8" t="s">
        <v>188</v>
      </c>
      <c r="M42" s="8">
        <v>1.0</v>
      </c>
    </row>
    <row r="43">
      <c r="A43" s="25" t="str">
        <f>HYPERLINK("https://maxxton.atlassian.net/browse/QA-22964","QA-22964")</f>
        <v>QA-22964</v>
      </c>
      <c r="B43" s="19" t="s">
        <v>277</v>
      </c>
      <c r="C43" s="19" t="s">
        <v>135</v>
      </c>
      <c r="D43" s="37" t="s">
        <v>275</v>
      </c>
      <c r="E43" s="37" t="s">
        <v>171</v>
      </c>
      <c r="F43" s="19" t="s">
        <v>206</v>
      </c>
      <c r="G43" s="19" t="s">
        <v>110</v>
      </c>
      <c r="H43" s="19" t="s">
        <v>98</v>
      </c>
      <c r="I43" s="19" t="s">
        <v>135</v>
      </c>
      <c r="J43" s="19" t="s">
        <v>180</v>
      </c>
      <c r="K43" s="40" t="str">
        <f>HYPERLINK("https://maxxton.atlassian.net/browse/QA-22990","QA-22990")</f>
        <v>QA-22990</v>
      </c>
      <c r="L43" s="8" t="s">
        <v>188</v>
      </c>
      <c r="M43" s="8">
        <v>1.0</v>
      </c>
    </row>
    <row r="44">
      <c r="A44" s="25" t="str">
        <f>HYPERLINK("https://maxxton.atlassian.net/browse/QA-22970","QA-22970")</f>
        <v>QA-22970</v>
      </c>
      <c r="B44" s="19" t="s">
        <v>278</v>
      </c>
      <c r="C44" s="19" t="s">
        <v>135</v>
      </c>
      <c r="D44" s="37" t="s">
        <v>275</v>
      </c>
      <c r="E44" s="37" t="s">
        <v>171</v>
      </c>
      <c r="F44" s="19" t="s">
        <v>206</v>
      </c>
      <c r="G44" s="19" t="s">
        <v>110</v>
      </c>
      <c r="H44" s="19" t="s">
        <v>98</v>
      </c>
      <c r="I44" s="19" t="s">
        <v>135</v>
      </c>
      <c r="J44" s="19" t="s">
        <v>180</v>
      </c>
      <c r="K44" s="40" t="str">
        <f>HYPERLINK("https://maxxton.atlassian.net/browse/QA-24103","QA-24103")</f>
        <v>QA-24103</v>
      </c>
      <c r="L44" s="8" t="s">
        <v>279</v>
      </c>
      <c r="M44" s="8">
        <v>1.0</v>
      </c>
    </row>
    <row r="45">
      <c r="A45" s="25" t="str">
        <f>HYPERLINK("https://maxxton.atlassian.net/browse/QA-22972","QA-22972")</f>
        <v>QA-22972</v>
      </c>
      <c r="B45" s="19" t="s">
        <v>280</v>
      </c>
      <c r="C45" s="19" t="s">
        <v>135</v>
      </c>
      <c r="D45" s="37" t="s">
        <v>275</v>
      </c>
      <c r="E45" s="37" t="s">
        <v>171</v>
      </c>
      <c r="F45" s="19" t="s">
        <v>206</v>
      </c>
      <c r="G45" s="19" t="s">
        <v>110</v>
      </c>
      <c r="H45" s="19" t="s">
        <v>98</v>
      </c>
      <c r="I45" s="19" t="s">
        <v>135</v>
      </c>
      <c r="J45" s="19" t="s">
        <v>173</v>
      </c>
      <c r="K45" s="40" t="str">
        <f>HYPERLINK("https://maxxton.atlassian.net/browse/QA-22992","QA-22992")</f>
        <v>QA-22992</v>
      </c>
      <c r="L45" s="8" t="s">
        <v>188</v>
      </c>
      <c r="M45" s="8">
        <v>1.0</v>
      </c>
    </row>
    <row r="46">
      <c r="A46" s="25" t="str">
        <f>HYPERLINK("https://maxxton.atlassian.net/browse/QA-22973","QA-22973")</f>
        <v>QA-22973</v>
      </c>
      <c r="B46" s="19" t="s">
        <v>281</v>
      </c>
      <c r="C46" s="19" t="s">
        <v>135</v>
      </c>
      <c r="D46" s="37" t="s">
        <v>275</v>
      </c>
      <c r="E46" s="37" t="s">
        <v>171</v>
      </c>
      <c r="F46" s="19" t="s">
        <v>206</v>
      </c>
      <c r="G46" s="19" t="s">
        <v>110</v>
      </c>
      <c r="H46" s="19" t="s">
        <v>98</v>
      </c>
      <c r="I46" s="19" t="s">
        <v>135</v>
      </c>
      <c r="J46" s="19" t="s">
        <v>173</v>
      </c>
      <c r="K46" s="26" t="str">
        <f>HYPERLINK("https://maxxton.atlassian.net/browse/QA-22993","QA-22993")</f>
        <v>QA-22993</v>
      </c>
      <c r="L46" s="19" t="s">
        <v>188</v>
      </c>
      <c r="M46" s="8">
        <v>1.0</v>
      </c>
    </row>
    <row r="47">
      <c r="A47" s="25" t="str">
        <f>HYPERLINK("https://maxxton.atlassian.net/browse/QA-22974","QA-22974")</f>
        <v>QA-22974</v>
      </c>
      <c r="B47" s="19" t="s">
        <v>282</v>
      </c>
      <c r="C47" s="19" t="s">
        <v>135</v>
      </c>
      <c r="D47" s="37" t="s">
        <v>275</v>
      </c>
      <c r="E47" s="37" t="s">
        <v>171</v>
      </c>
      <c r="F47" s="19" t="s">
        <v>206</v>
      </c>
      <c r="G47" s="19" t="s">
        <v>110</v>
      </c>
      <c r="H47" s="19" t="s">
        <v>98</v>
      </c>
      <c r="I47" s="19" t="s">
        <v>135</v>
      </c>
      <c r="J47" s="19" t="s">
        <v>206</v>
      </c>
      <c r="K47" s="26" t="str">
        <f>HYPERLINK("https://maxxton.atlassian.net/browse/QA-24104","QA-24104")</f>
        <v>QA-24104</v>
      </c>
      <c r="L47" s="19" t="s">
        <v>279</v>
      </c>
      <c r="M47" s="8">
        <v>1.0</v>
      </c>
    </row>
    <row r="48">
      <c r="A48" s="25" t="str">
        <f>HYPERLINK("https://maxxton.atlassian.net/browse/QA-22975","QA-22975")</f>
        <v>QA-22975</v>
      </c>
      <c r="B48" s="19" t="s">
        <v>283</v>
      </c>
      <c r="C48" s="19" t="s">
        <v>135</v>
      </c>
      <c r="D48" s="37" t="s">
        <v>275</v>
      </c>
      <c r="E48" s="37" t="s">
        <v>171</v>
      </c>
      <c r="F48" s="19" t="s">
        <v>206</v>
      </c>
      <c r="G48" s="19" t="s">
        <v>110</v>
      </c>
      <c r="H48" s="19" t="s">
        <v>98</v>
      </c>
      <c r="I48" s="19" t="s">
        <v>135</v>
      </c>
      <c r="J48" s="19" t="s">
        <v>180</v>
      </c>
      <c r="K48" s="26" t="str">
        <f>HYPERLINK("https://maxxton.atlassian.net/browse/QA-22995","QA-22995")</f>
        <v>QA-22995</v>
      </c>
      <c r="L48" s="19" t="s">
        <v>188</v>
      </c>
      <c r="M48" s="8">
        <v>1.0</v>
      </c>
    </row>
    <row r="49">
      <c r="A49" s="25" t="str">
        <f>HYPERLINK("https://maxxton.atlassian.net/browse/QA-22976","QA-22976")</f>
        <v>QA-22976</v>
      </c>
      <c r="B49" s="19" t="s">
        <v>284</v>
      </c>
      <c r="C49" s="19" t="s">
        <v>135</v>
      </c>
      <c r="D49" s="37" t="s">
        <v>275</v>
      </c>
      <c r="E49" s="37" t="s">
        <v>171</v>
      </c>
      <c r="F49" s="19" t="s">
        <v>206</v>
      </c>
      <c r="G49" s="19" t="s">
        <v>110</v>
      </c>
      <c r="H49" s="19" t="s">
        <v>98</v>
      </c>
      <c r="I49" s="19" t="s">
        <v>135</v>
      </c>
      <c r="J49" s="19" t="s">
        <v>173</v>
      </c>
      <c r="K49" s="26" t="str">
        <f>HYPERLINK("https://maxxton.atlassian.net/browse/QA-22996","QA-22996")</f>
        <v>QA-22996</v>
      </c>
      <c r="L49" s="19" t="s">
        <v>188</v>
      </c>
      <c r="M49" s="8">
        <v>1.0</v>
      </c>
    </row>
    <row r="50">
      <c r="A50" s="21"/>
      <c r="B50" s="21"/>
      <c r="C50" s="21"/>
      <c r="D50" s="21"/>
      <c r="E50" s="21"/>
      <c r="F50" s="21"/>
      <c r="G50" s="21"/>
      <c r="H50" s="21"/>
      <c r="I50" s="21"/>
      <c r="J50" s="21"/>
      <c r="K50" s="21"/>
      <c r="L50" s="21"/>
      <c r="M50" s="8" t="s">
        <v>285</v>
      </c>
    </row>
    <row r="51">
      <c r="A51" s="21"/>
      <c r="B51" s="21"/>
      <c r="C51" s="21"/>
      <c r="D51" s="21"/>
      <c r="E51" s="21"/>
      <c r="F51" s="21"/>
      <c r="G51" s="21"/>
      <c r="H51" s="21"/>
      <c r="I51" s="21"/>
      <c r="J51" s="21"/>
      <c r="K51" s="21"/>
      <c r="L51" s="21"/>
    </row>
    <row r="52">
      <c r="A52" s="21"/>
      <c r="B52" s="21"/>
      <c r="C52" s="21"/>
      <c r="D52" s="21"/>
      <c r="E52" s="21"/>
      <c r="F52" s="21"/>
      <c r="G52" s="21"/>
      <c r="H52" s="21"/>
      <c r="I52" s="21"/>
      <c r="J52" s="21"/>
      <c r="K52" s="21"/>
      <c r="L52" s="21"/>
    </row>
    <row r="53">
      <c r="A53" s="21"/>
      <c r="B53" s="21"/>
      <c r="C53" s="21"/>
      <c r="D53" s="21"/>
      <c r="E53" s="21"/>
      <c r="F53" s="21"/>
      <c r="G53" s="21"/>
      <c r="H53" s="21"/>
      <c r="I53" s="21"/>
      <c r="J53" s="21"/>
      <c r="K53" s="21"/>
      <c r="L53" s="21"/>
    </row>
    <row r="54">
      <c r="A54" s="21"/>
      <c r="B54" s="21"/>
      <c r="C54" s="21"/>
      <c r="D54" s="21"/>
      <c r="E54" s="21"/>
      <c r="F54" s="21"/>
      <c r="G54" s="21"/>
      <c r="H54" s="21"/>
      <c r="I54" s="21"/>
      <c r="J54" s="21"/>
      <c r="K54" s="21"/>
      <c r="L54" s="21"/>
    </row>
    <row r="55">
      <c r="A55" s="21"/>
      <c r="B55" s="21"/>
      <c r="C55" s="21"/>
      <c r="D55" s="21"/>
      <c r="E55" s="21"/>
      <c r="F55" s="24"/>
      <c r="G55" s="21"/>
      <c r="H55" s="21"/>
      <c r="I55" s="21"/>
      <c r="J55" s="24"/>
      <c r="K55" s="21"/>
      <c r="L55" s="21"/>
    </row>
    <row r="56">
      <c r="C56" s="24"/>
      <c r="F56" s="24"/>
      <c r="H56" s="24"/>
      <c r="I56" s="24"/>
      <c r="J56" s="24"/>
    </row>
    <row r="57">
      <c r="C57" s="24"/>
      <c r="F57" s="24"/>
      <c r="H57" s="24"/>
      <c r="I57" s="24"/>
      <c r="J57" s="24"/>
    </row>
    <row r="58">
      <c r="C58" s="24"/>
      <c r="F58" s="24"/>
      <c r="H58" s="24"/>
      <c r="I58" s="24"/>
      <c r="J58" s="24"/>
    </row>
    <row r="59">
      <c r="C59" s="24"/>
      <c r="F59" s="24"/>
      <c r="H59" s="24"/>
      <c r="I59" s="24"/>
      <c r="J59" s="24"/>
    </row>
    <row r="60">
      <c r="C60" s="24"/>
      <c r="F60" s="24"/>
      <c r="H60" s="24"/>
      <c r="I60" s="24"/>
      <c r="J60" s="24"/>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row r="988">
      <c r="C988" s="24"/>
      <c r="F988" s="24"/>
      <c r="H988" s="24"/>
      <c r="I988" s="24"/>
      <c r="J988" s="24"/>
    </row>
    <row r="989">
      <c r="C989" s="24"/>
      <c r="F989" s="24"/>
      <c r="H989" s="24"/>
      <c r="I989" s="24"/>
      <c r="J989" s="24"/>
    </row>
    <row r="990">
      <c r="C990" s="24"/>
      <c r="F990" s="24"/>
      <c r="H990" s="24"/>
      <c r="I990" s="24"/>
      <c r="J990" s="24"/>
    </row>
    <row r="991">
      <c r="C991" s="24"/>
      <c r="F991" s="24"/>
      <c r="H991" s="24"/>
      <c r="I991" s="24"/>
      <c r="J991" s="24"/>
    </row>
    <row r="992">
      <c r="C992" s="24"/>
      <c r="F992" s="24"/>
      <c r="H992" s="24"/>
      <c r="I992" s="24"/>
      <c r="J992" s="24"/>
    </row>
    <row r="993">
      <c r="C993" s="24"/>
      <c r="F993" s="24"/>
      <c r="H993" s="24"/>
      <c r="I993" s="24"/>
      <c r="J993" s="24"/>
    </row>
    <row r="994">
      <c r="C994" s="24"/>
      <c r="F994" s="24"/>
      <c r="H994" s="24"/>
      <c r="I994" s="24"/>
      <c r="J994" s="24"/>
    </row>
    <row r="995">
      <c r="C995" s="24"/>
      <c r="F995" s="24"/>
      <c r="H995" s="24"/>
      <c r="I995" s="24"/>
      <c r="J995" s="24"/>
    </row>
    <row r="996">
      <c r="C996" s="24"/>
      <c r="F996" s="24"/>
      <c r="H996" s="24"/>
      <c r="I996" s="24"/>
      <c r="J996" s="24"/>
    </row>
    <row r="997">
      <c r="C997" s="24"/>
      <c r="F997" s="24"/>
      <c r="H997" s="24"/>
      <c r="I997" s="24"/>
      <c r="J997" s="24"/>
    </row>
    <row r="998">
      <c r="C998" s="24"/>
      <c r="F998" s="24"/>
      <c r="H998" s="24"/>
      <c r="I998" s="24"/>
      <c r="J998" s="24"/>
    </row>
    <row r="999">
      <c r="C999" s="24"/>
      <c r="F999" s="24"/>
      <c r="H999" s="24"/>
      <c r="I999" s="24"/>
      <c r="J999" s="24"/>
    </row>
    <row r="1000">
      <c r="C1000" s="24"/>
      <c r="H1000" s="24"/>
      <c r="I1000" s="24"/>
    </row>
  </sheetData>
  <mergeCells count="1">
    <mergeCell ref="P1:Q1"/>
  </mergeCells>
  <conditionalFormatting sqref="H1:H1000">
    <cfRule type="cellIs" dxfId="0" priority="1" operator="equal">
      <formula>"Y"</formula>
    </cfRule>
  </conditionalFormatting>
  <conditionalFormatting sqref="H1:H1000">
    <cfRule type="containsText" dxfId="1" priority="2" operator="containsText" text="N">
      <formula>NOT(ISERROR(SEARCH(("N"),(H1))))</formula>
    </cfRule>
  </conditionalFormatting>
  <dataValidations>
    <dataValidation type="list" allowBlank="1" sqref="I7:I41 C7:C1000 I43:I1000">
      <formula1>"P1,P2,P3,P4,P5"</formula1>
    </dataValidation>
    <dataValidation type="list" allowBlank="1" sqref="O33:O35 F7:F999 J7:J999">
      <formula1>BaseData!$A$2:$A$54</formula1>
    </dataValidation>
    <dataValidation type="list" allowBlank="1" sqref="H7:H1000">
      <formula1>"Y,N"</formula1>
    </dataValidation>
  </dataValidations>
  <hyperlinks>
    <hyperlink r:id="rId1" ref="A40"/>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4.75"/>
    <col customWidth="1" min="3" max="3" width="10.5"/>
    <col customWidth="1" min="4" max="4" width="19.13"/>
    <col customWidth="1" min="5" max="5" width="12.38"/>
    <col customWidth="1" min="6" max="6" width="17.5"/>
    <col customWidth="1" min="7" max="7" width="28.75"/>
    <col customWidth="1" min="8" max="8" width="14.13"/>
    <col customWidth="1" min="9" max="9" width="13.0"/>
    <col customWidth="1" min="10" max="10" width="16.13"/>
    <col customWidth="1" min="11" max="11" width="9.13"/>
    <col customWidth="1" min="12" max="12" width="29.13"/>
    <col customWidth="1" min="13" max="13" width="23.25"/>
    <col customWidth="1" min="14" max="14" width="27.63"/>
    <col customWidth="1" min="15" max="15" width="24.88"/>
    <col customWidth="1" min="16" max="16" width="7.5"/>
    <col customWidth="1" min="17" max="17" width="23.25"/>
  </cols>
  <sheetData>
    <row r="1">
      <c r="J1" s="8"/>
      <c r="O1" s="9" t="s">
        <v>36</v>
      </c>
      <c r="P1" s="41" t="s">
        <v>37</v>
      </c>
      <c r="Q1" s="11"/>
      <c r="R1" s="42"/>
    </row>
    <row r="2">
      <c r="A2" s="8"/>
      <c r="B2" s="8"/>
      <c r="E2" s="8"/>
      <c r="F2" s="12" t="s">
        <v>25</v>
      </c>
      <c r="G2" s="1">
        <f>countifs(A:A,"&lt;&gt;NEW",A:A,"&lt;&gt;")-1</f>
        <v>9</v>
      </c>
      <c r="I2" s="8"/>
      <c r="J2" s="8"/>
      <c r="O2" s="27" t="s">
        <v>286</v>
      </c>
      <c r="P2" s="27" t="s">
        <v>287</v>
      </c>
      <c r="Q2" s="27" t="s">
        <v>288</v>
      </c>
      <c r="R2" s="42"/>
    </row>
    <row r="3">
      <c r="A3" s="8"/>
      <c r="B3" s="8"/>
      <c r="D3" s="16"/>
      <c r="E3" s="8"/>
      <c r="F3" s="17" t="s">
        <v>41</v>
      </c>
      <c r="G3" s="18">
        <f>countif(H:H,"=Y")</f>
        <v>5</v>
      </c>
      <c r="H3" s="8"/>
      <c r="I3" s="8"/>
      <c r="J3" s="8"/>
      <c r="O3" s="27" t="s">
        <v>289</v>
      </c>
      <c r="P3" s="43"/>
      <c r="Q3" s="44"/>
    </row>
    <row r="4">
      <c r="A4" s="8"/>
      <c r="B4" s="8"/>
      <c r="E4" s="8"/>
      <c r="F4" s="17" t="s">
        <v>45</v>
      </c>
      <c r="G4" s="18">
        <f>COUNTIF(A:A,"=NEW")</f>
        <v>0</v>
      </c>
      <c r="H4" s="8"/>
      <c r="I4" s="8"/>
      <c r="J4" s="8"/>
      <c r="O4" s="27" t="s">
        <v>290</v>
      </c>
      <c r="P4" s="43"/>
      <c r="Q4" s="44"/>
    </row>
    <row r="5">
      <c r="A5" s="8"/>
      <c r="B5" s="8"/>
      <c r="C5" s="8"/>
      <c r="D5" s="8"/>
      <c r="E5" s="8"/>
      <c r="F5" s="8" t="s">
        <v>291</v>
      </c>
      <c r="G5" s="8"/>
      <c r="H5" s="8"/>
      <c r="I5" s="8"/>
      <c r="J5" s="8"/>
      <c r="O5" s="27" t="s">
        <v>292</v>
      </c>
      <c r="P5" s="43"/>
      <c r="Q5" s="44"/>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165</v>
      </c>
      <c r="O6" s="27" t="s">
        <v>293</v>
      </c>
      <c r="P6" s="43"/>
      <c r="Q6" s="44"/>
    </row>
    <row r="7">
      <c r="A7" s="45" t="s">
        <v>294</v>
      </c>
      <c r="B7" s="19" t="s">
        <v>295</v>
      </c>
      <c r="C7" s="19" t="s">
        <v>95</v>
      </c>
      <c r="D7" s="27" t="s">
        <v>286</v>
      </c>
      <c r="E7" s="19" t="s">
        <v>287</v>
      </c>
      <c r="F7" s="19" t="s">
        <v>296</v>
      </c>
      <c r="G7" s="19" t="s">
        <v>179</v>
      </c>
      <c r="H7" s="19" t="s">
        <v>98</v>
      </c>
      <c r="I7" s="19" t="s">
        <v>95</v>
      </c>
      <c r="J7" s="19" t="s">
        <v>296</v>
      </c>
      <c r="K7" s="26" t="str">
        <f>HYPERLINK("https://maxxton.atlassian.net/browse/QA-27256","QA-27256")</f>
        <v>QA-27256</v>
      </c>
      <c r="L7" s="19" t="s">
        <v>297</v>
      </c>
      <c r="M7" s="8" t="s">
        <v>179</v>
      </c>
      <c r="N7" s="8" t="s">
        <v>172</v>
      </c>
      <c r="O7" s="27" t="s">
        <v>298</v>
      </c>
      <c r="P7" s="46"/>
    </row>
    <row r="8">
      <c r="A8" s="45" t="s">
        <v>299</v>
      </c>
      <c r="B8" s="19" t="s">
        <v>300</v>
      </c>
      <c r="C8" s="19" t="s">
        <v>95</v>
      </c>
      <c r="D8" s="27" t="s">
        <v>289</v>
      </c>
      <c r="E8" s="19" t="s">
        <v>287</v>
      </c>
      <c r="F8" s="19" t="s">
        <v>296</v>
      </c>
      <c r="G8" s="19" t="s">
        <v>128</v>
      </c>
      <c r="H8" s="19" t="s">
        <v>98</v>
      </c>
      <c r="I8" s="19" t="s">
        <v>95</v>
      </c>
      <c r="J8" s="19" t="s">
        <v>296</v>
      </c>
      <c r="K8" s="26" t="str">
        <f>HYPERLINK("https://maxxton.atlassian.net/browse/QA-27257","QA-27257")</f>
        <v>QA-27257</v>
      </c>
      <c r="L8" s="19" t="s">
        <v>297</v>
      </c>
      <c r="M8" s="8" t="s">
        <v>225</v>
      </c>
      <c r="N8" s="8" t="s">
        <v>172</v>
      </c>
      <c r="O8" s="27" t="s">
        <v>301</v>
      </c>
      <c r="P8" s="46"/>
    </row>
    <row r="9">
      <c r="A9" s="45" t="s">
        <v>302</v>
      </c>
      <c r="B9" s="19" t="s">
        <v>303</v>
      </c>
      <c r="C9" s="19" t="s">
        <v>95</v>
      </c>
      <c r="D9" s="27" t="s">
        <v>301</v>
      </c>
      <c r="E9" s="19" t="s">
        <v>287</v>
      </c>
      <c r="F9" s="19" t="s">
        <v>296</v>
      </c>
      <c r="G9" s="19" t="s">
        <v>231</v>
      </c>
      <c r="H9" s="19" t="s">
        <v>143</v>
      </c>
      <c r="I9" s="19" t="s">
        <v>95</v>
      </c>
      <c r="J9" s="19" t="s">
        <v>296</v>
      </c>
      <c r="K9" s="26" t="str">
        <f>HYPERLINK("https://maxxton.atlassian.net/browse/QA-28695","QA-28695")</f>
        <v>QA-28695</v>
      </c>
      <c r="L9" s="19" t="s">
        <v>304</v>
      </c>
      <c r="M9" s="8" t="s">
        <v>231</v>
      </c>
      <c r="N9" s="8" t="s">
        <v>136</v>
      </c>
      <c r="O9" s="27" t="s">
        <v>305</v>
      </c>
      <c r="P9" s="47"/>
      <c r="Q9" s="20"/>
    </row>
    <row r="10">
      <c r="A10" s="45" t="s">
        <v>306</v>
      </c>
      <c r="B10" s="19" t="s">
        <v>307</v>
      </c>
      <c r="C10" s="19" t="s">
        <v>95</v>
      </c>
      <c r="D10" s="27" t="s">
        <v>308</v>
      </c>
      <c r="E10" s="19" t="s">
        <v>287</v>
      </c>
      <c r="F10" s="19" t="s">
        <v>296</v>
      </c>
      <c r="G10" s="19" t="s">
        <v>225</v>
      </c>
      <c r="H10" s="19" t="s">
        <v>143</v>
      </c>
      <c r="I10" s="19" t="s">
        <v>95</v>
      </c>
      <c r="J10" s="19" t="s">
        <v>296</v>
      </c>
      <c r="K10" s="25" t="str">
        <f>HYPERLINK("https://maxxton.atlassian.net/browse/QA-28696","QA-28696")</f>
        <v>QA-28696</v>
      </c>
      <c r="L10" s="19" t="s">
        <v>304</v>
      </c>
      <c r="M10" s="8" t="s">
        <v>225</v>
      </c>
      <c r="N10" s="8" t="s">
        <v>172</v>
      </c>
      <c r="O10" s="8" t="s">
        <v>309</v>
      </c>
      <c r="P10" s="20"/>
      <c r="Q10" s="20"/>
    </row>
    <row r="11">
      <c r="A11" s="25" t="str">
        <f>HYPERLINK("https://maxxton.atlassian.net/browse/QA-9463","QA-9463")</f>
        <v>QA-9463</v>
      </c>
      <c r="B11" s="19" t="s">
        <v>310</v>
      </c>
      <c r="C11" s="19" t="s">
        <v>95</v>
      </c>
      <c r="D11" s="27" t="s">
        <v>298</v>
      </c>
      <c r="E11" s="19" t="s">
        <v>287</v>
      </c>
      <c r="F11" s="19" t="s">
        <v>296</v>
      </c>
      <c r="G11" s="19" t="s">
        <v>311</v>
      </c>
      <c r="H11" s="19" t="s">
        <v>143</v>
      </c>
      <c r="I11" s="19" t="s">
        <v>95</v>
      </c>
      <c r="J11" s="19" t="s">
        <v>296</v>
      </c>
      <c r="K11" s="26" t="str">
        <f>HYPERLINK("https://maxxton.atlassian.net/browse/QA-28697","QA-28697")</f>
        <v>QA-28697</v>
      </c>
      <c r="L11" s="19" t="s">
        <v>304</v>
      </c>
      <c r="M11" s="8" t="s">
        <v>312</v>
      </c>
      <c r="N11" s="8" t="s">
        <v>225</v>
      </c>
      <c r="O11" s="44"/>
      <c r="P11" s="20"/>
      <c r="Q11" s="20"/>
    </row>
    <row r="12">
      <c r="A12" s="25" t="str">
        <f>HYPERLINK("https://maxxton.atlassian.net/browse/QA-9465","QA-9465")</f>
        <v>QA-9465</v>
      </c>
      <c r="B12" s="19" t="s">
        <v>313</v>
      </c>
      <c r="C12" s="19" t="s">
        <v>95</v>
      </c>
      <c r="D12" s="27" t="s">
        <v>292</v>
      </c>
      <c r="E12" s="19" t="s">
        <v>287</v>
      </c>
      <c r="F12" s="19" t="s">
        <v>314</v>
      </c>
      <c r="G12" s="19" t="s">
        <v>231</v>
      </c>
      <c r="H12" s="19" t="s">
        <v>98</v>
      </c>
      <c r="I12" s="19" t="s">
        <v>95</v>
      </c>
      <c r="J12" s="19" t="s">
        <v>314</v>
      </c>
      <c r="K12" s="25" t="str">
        <f>HYPERLINK("https://maxxton.atlassian.net/browse/QA-27261","QA-27261")</f>
        <v>QA-27261</v>
      </c>
      <c r="L12" s="19" t="s">
        <v>297</v>
      </c>
      <c r="M12" s="8" t="s">
        <v>231</v>
      </c>
      <c r="N12" s="8" t="s">
        <v>315</v>
      </c>
      <c r="P12" s="20"/>
      <c r="Q12" s="20"/>
    </row>
    <row r="13">
      <c r="A13" s="25" t="str">
        <f>HYPERLINK("https://maxxton.atlassian.net/browse/QA-9466","QA-9466")</f>
        <v>QA-9466</v>
      </c>
      <c r="B13" s="19" t="s">
        <v>316</v>
      </c>
      <c r="C13" s="19" t="s">
        <v>95</v>
      </c>
      <c r="D13" s="27" t="s">
        <v>290</v>
      </c>
      <c r="E13" s="19" t="s">
        <v>287</v>
      </c>
      <c r="F13" s="19" t="s">
        <v>314</v>
      </c>
      <c r="G13" s="19" t="s">
        <v>128</v>
      </c>
      <c r="H13" s="19" t="s">
        <v>98</v>
      </c>
      <c r="I13" s="19" t="s">
        <v>95</v>
      </c>
      <c r="J13" s="19" t="s">
        <v>314</v>
      </c>
      <c r="K13" s="26" t="str">
        <f>HYPERLINK("https://maxxton.atlassian.net/browse/QA-27262","QA-27262")</f>
        <v>QA-27262</v>
      </c>
      <c r="L13" s="19" t="s">
        <v>297</v>
      </c>
      <c r="M13" s="8" t="s">
        <v>225</v>
      </c>
      <c r="N13" s="8" t="s">
        <v>235</v>
      </c>
      <c r="O13" s="44"/>
      <c r="P13" s="20"/>
      <c r="Q13" s="20"/>
    </row>
    <row r="14">
      <c r="A14" s="25" t="str">
        <f>HYPERLINK("https://maxxton.atlassian.net/browse/QA-9864","QA-9864")</f>
        <v>QA-9864</v>
      </c>
      <c r="B14" s="19" t="s">
        <v>317</v>
      </c>
      <c r="C14" s="19" t="s">
        <v>95</v>
      </c>
      <c r="D14" s="48" t="s">
        <v>309</v>
      </c>
      <c r="E14" s="19" t="s">
        <v>287</v>
      </c>
      <c r="F14" s="19" t="s">
        <v>314</v>
      </c>
      <c r="G14" s="19" t="s">
        <v>231</v>
      </c>
      <c r="H14" s="19" t="s">
        <v>143</v>
      </c>
      <c r="I14" s="19" t="s">
        <v>95</v>
      </c>
      <c r="J14" s="19" t="s">
        <v>314</v>
      </c>
      <c r="K14" s="26" t="str">
        <f>HYPERLINK("https://maxxton.atlassian.net/browse/QA-28698","QA-28698")</f>
        <v>QA-28698</v>
      </c>
      <c r="L14" s="19" t="s">
        <v>304</v>
      </c>
      <c r="M14" s="8" t="s">
        <v>231</v>
      </c>
      <c r="N14" s="8" t="s">
        <v>235</v>
      </c>
    </row>
    <row r="15">
      <c r="A15" s="25" t="str">
        <f>HYPERLINK("https://maxxton.atlassian.net/browse/QA-15665","QA-15665")</f>
        <v>QA-15665</v>
      </c>
      <c r="B15" s="19" t="s">
        <v>318</v>
      </c>
      <c r="C15" s="19" t="s">
        <v>95</v>
      </c>
      <c r="D15" s="48" t="s">
        <v>319</v>
      </c>
      <c r="E15" s="19" t="s">
        <v>287</v>
      </c>
      <c r="F15" s="19" t="s">
        <v>314</v>
      </c>
      <c r="G15" s="19" t="s">
        <v>231</v>
      </c>
      <c r="H15" s="19" t="s">
        <v>143</v>
      </c>
      <c r="I15" s="19" t="s">
        <v>95</v>
      </c>
      <c r="J15" s="19" t="s">
        <v>314</v>
      </c>
      <c r="K15" s="26" t="str">
        <f>HYPERLINK("https://maxxton.atlassian.net/browse/QA-28699","QA-28699")</f>
        <v>QA-28699</v>
      </c>
      <c r="L15" s="19" t="s">
        <v>304</v>
      </c>
      <c r="M15" s="8" t="s">
        <v>320</v>
      </c>
      <c r="N15" s="8" t="s">
        <v>321</v>
      </c>
    </row>
    <row r="16">
      <c r="A16" s="21"/>
      <c r="B16" s="21"/>
      <c r="C16" s="21"/>
      <c r="D16" s="21"/>
      <c r="E16" s="21"/>
      <c r="F16" s="21"/>
      <c r="G16" s="21"/>
      <c r="H16" s="21"/>
      <c r="I16" s="21"/>
      <c r="J16" s="21"/>
      <c r="K16" s="21"/>
      <c r="L16" s="49" t="s">
        <v>322</v>
      </c>
      <c r="M16" s="50" t="s">
        <v>323</v>
      </c>
      <c r="N16" s="50" t="s">
        <v>324</v>
      </c>
    </row>
    <row r="17">
      <c r="A17" s="21"/>
      <c r="B17" s="21"/>
      <c r="C17" s="21"/>
      <c r="D17" s="21"/>
      <c r="E17" s="21"/>
      <c r="F17" s="21"/>
      <c r="G17" s="21"/>
      <c r="H17" s="21"/>
      <c r="I17" s="21"/>
      <c r="J17" s="21"/>
      <c r="K17" s="21"/>
      <c r="L17" s="21"/>
    </row>
    <row r="18">
      <c r="A18" s="21"/>
      <c r="B18" s="21"/>
      <c r="C18" s="21"/>
      <c r="D18" s="21"/>
      <c r="E18" s="21"/>
      <c r="F18" s="21"/>
      <c r="G18" s="21"/>
      <c r="H18" s="21"/>
      <c r="I18" s="21"/>
      <c r="J18" s="21"/>
      <c r="K18" s="21"/>
      <c r="L18" s="21"/>
    </row>
    <row r="19">
      <c r="A19" s="21"/>
      <c r="B19" s="21"/>
      <c r="C19" s="21"/>
      <c r="D19" s="21"/>
      <c r="E19" s="21"/>
      <c r="F19" s="21"/>
      <c r="G19" s="21"/>
      <c r="H19" s="21"/>
      <c r="I19" s="21"/>
      <c r="J19" s="21"/>
      <c r="K19" s="21"/>
      <c r="L19" s="21"/>
    </row>
    <row r="20">
      <c r="A20" s="21"/>
      <c r="B20" s="21"/>
      <c r="C20" s="21"/>
      <c r="D20" s="21"/>
      <c r="E20" s="21"/>
      <c r="F20" s="21"/>
      <c r="G20" s="21"/>
      <c r="H20" s="21"/>
      <c r="I20" s="21"/>
      <c r="J20" s="21"/>
      <c r="K20" s="21"/>
      <c r="L20" s="21"/>
    </row>
    <row r="21">
      <c r="A21" s="21"/>
      <c r="B21" s="21"/>
      <c r="C21" s="21"/>
      <c r="D21" s="21"/>
      <c r="E21" s="21"/>
      <c r="F21" s="21"/>
      <c r="G21" s="21"/>
      <c r="H21" s="21"/>
      <c r="I21" s="21"/>
      <c r="J21" s="21"/>
      <c r="K21" s="21"/>
      <c r="L21" s="21"/>
    </row>
    <row r="22">
      <c r="A22" s="21"/>
      <c r="B22" s="21"/>
      <c r="C22" s="21"/>
      <c r="D22" s="21"/>
      <c r="E22" s="21"/>
      <c r="F22" s="21"/>
      <c r="G22" s="21"/>
      <c r="H22" s="21"/>
      <c r="I22" s="21"/>
      <c r="J22" s="21"/>
      <c r="K22" s="21"/>
      <c r="L22" s="21"/>
    </row>
    <row r="23">
      <c r="A23" s="21"/>
      <c r="B23" s="21"/>
      <c r="C23" s="21"/>
      <c r="D23" s="21"/>
      <c r="E23" s="21"/>
      <c r="F23" s="21"/>
      <c r="G23" s="21"/>
      <c r="H23" s="21"/>
      <c r="I23" s="21"/>
      <c r="J23" s="21"/>
      <c r="K23" s="21"/>
      <c r="L23" s="21"/>
    </row>
    <row r="24">
      <c r="A24" s="21"/>
      <c r="B24" s="21"/>
      <c r="C24" s="21"/>
      <c r="D24" s="21"/>
      <c r="E24" s="21"/>
      <c r="F24" s="21"/>
      <c r="G24" s="21"/>
      <c r="H24" s="21"/>
      <c r="I24" s="21"/>
      <c r="J24" s="21"/>
      <c r="K24" s="21"/>
      <c r="L24" s="21"/>
    </row>
    <row r="25">
      <c r="A25" s="21"/>
      <c r="B25" s="21"/>
      <c r="C25" s="21"/>
      <c r="D25" s="21"/>
      <c r="E25" s="21"/>
      <c r="F25" s="21"/>
      <c r="G25" s="21"/>
      <c r="H25" s="21"/>
      <c r="I25" s="21"/>
      <c r="J25" s="21"/>
      <c r="K25" s="21"/>
      <c r="L25" s="21"/>
    </row>
    <row r="26">
      <c r="A26" s="21"/>
      <c r="B26" s="21"/>
      <c r="C26" s="21"/>
      <c r="D26" s="21"/>
      <c r="E26" s="21"/>
      <c r="F26" s="21"/>
      <c r="G26" s="21"/>
      <c r="H26" s="21"/>
      <c r="I26" s="21"/>
      <c r="J26" s="21"/>
      <c r="K26" s="21"/>
      <c r="L26" s="21"/>
    </row>
    <row r="27">
      <c r="A27" s="21"/>
      <c r="B27" s="21"/>
      <c r="C27" s="21"/>
      <c r="D27" s="21"/>
      <c r="E27" s="21"/>
      <c r="F27" s="21"/>
      <c r="G27" s="21"/>
      <c r="H27" s="21"/>
      <c r="I27" s="21"/>
      <c r="J27" s="21"/>
      <c r="K27" s="21"/>
      <c r="L27" s="21"/>
    </row>
    <row r="28">
      <c r="A28" s="21"/>
      <c r="B28" s="21"/>
      <c r="C28" s="21"/>
      <c r="D28" s="21"/>
      <c r="E28" s="21"/>
      <c r="F28" s="21"/>
      <c r="G28" s="21"/>
      <c r="H28" s="21"/>
      <c r="I28" s="21"/>
      <c r="J28" s="21"/>
      <c r="K28" s="21"/>
      <c r="L28" s="21"/>
    </row>
    <row r="29">
      <c r="A29" s="21"/>
      <c r="B29" s="21"/>
      <c r="C29" s="21"/>
      <c r="D29" s="21"/>
      <c r="E29" s="21"/>
      <c r="F29" s="21"/>
      <c r="G29" s="21"/>
      <c r="H29" s="21"/>
      <c r="I29" s="21"/>
      <c r="J29" s="21"/>
      <c r="K29" s="21"/>
      <c r="L29" s="21"/>
    </row>
    <row r="30">
      <c r="A30" s="21"/>
      <c r="B30" s="21"/>
      <c r="C30" s="21"/>
      <c r="D30" s="21"/>
      <c r="E30" s="21"/>
      <c r="F30" s="21"/>
      <c r="G30" s="21"/>
      <c r="H30" s="21"/>
      <c r="I30" s="21"/>
      <c r="J30" s="21"/>
      <c r="K30" s="21"/>
      <c r="L30" s="21"/>
    </row>
    <row r="31">
      <c r="A31" s="21"/>
      <c r="B31" s="21"/>
      <c r="C31" s="21"/>
      <c r="D31" s="21"/>
      <c r="E31" s="21"/>
      <c r="F31" s="21"/>
      <c r="G31" s="21"/>
      <c r="H31" s="21"/>
      <c r="I31" s="21"/>
      <c r="J31" s="21"/>
      <c r="K31" s="21"/>
      <c r="L31" s="21"/>
    </row>
    <row r="32">
      <c r="A32" s="21"/>
      <c r="B32" s="21"/>
      <c r="C32" s="21"/>
      <c r="D32" s="21"/>
      <c r="E32" s="21"/>
      <c r="F32" s="21"/>
      <c r="G32" s="21"/>
      <c r="H32" s="21"/>
      <c r="I32" s="21"/>
      <c r="J32" s="21"/>
      <c r="K32" s="21"/>
      <c r="L32" s="21"/>
    </row>
    <row r="33">
      <c r="C33" s="24"/>
      <c r="F33" s="24"/>
      <c r="H33" s="24"/>
      <c r="I33" s="24"/>
      <c r="J33" s="24"/>
    </row>
    <row r="34">
      <c r="C34" s="24"/>
      <c r="F34" s="24"/>
      <c r="H34" s="24"/>
      <c r="I34" s="24"/>
      <c r="J34" s="24"/>
    </row>
    <row r="35">
      <c r="C35" s="24"/>
      <c r="F35" s="24"/>
      <c r="H35" s="24"/>
      <c r="I35" s="24"/>
      <c r="J35" s="24"/>
    </row>
    <row r="36">
      <c r="C36" s="24"/>
      <c r="F36" s="24"/>
      <c r="H36" s="24"/>
      <c r="I36" s="24"/>
      <c r="J36" s="24"/>
    </row>
    <row r="37">
      <c r="C37" s="24"/>
      <c r="F37" s="24"/>
      <c r="H37" s="24"/>
      <c r="I37" s="24"/>
      <c r="J37" s="24"/>
    </row>
    <row r="38">
      <c r="C38" s="24"/>
      <c r="F38" s="24"/>
      <c r="H38" s="24"/>
      <c r="I38" s="24"/>
      <c r="J38" s="24"/>
    </row>
    <row r="39">
      <c r="C39" s="24"/>
      <c r="F39" s="24"/>
      <c r="H39" s="24"/>
      <c r="I39" s="24"/>
      <c r="J39" s="24"/>
    </row>
    <row r="40">
      <c r="C40" s="24"/>
      <c r="F40" s="24"/>
      <c r="H40" s="24"/>
      <c r="I40" s="24"/>
      <c r="J40" s="24"/>
    </row>
    <row r="41">
      <c r="C41" s="24"/>
      <c r="F41" s="24"/>
      <c r="H41" s="24"/>
      <c r="I41" s="24"/>
      <c r="J41" s="24"/>
    </row>
    <row r="42">
      <c r="C42" s="24"/>
      <c r="F42" s="24"/>
      <c r="H42" s="24"/>
      <c r="I42" s="24"/>
      <c r="J42" s="24"/>
    </row>
    <row r="43">
      <c r="C43" s="24"/>
      <c r="F43" s="24"/>
      <c r="H43" s="24"/>
      <c r="I43" s="24"/>
      <c r="J43" s="24"/>
    </row>
    <row r="44">
      <c r="C44" s="24"/>
      <c r="F44" s="24"/>
      <c r="H44" s="24"/>
      <c r="I44" s="24"/>
      <c r="J44" s="24"/>
    </row>
    <row r="45">
      <c r="C45" s="24"/>
      <c r="F45" s="24"/>
      <c r="H45" s="24"/>
      <c r="I45" s="24"/>
      <c r="J45" s="24"/>
    </row>
    <row r="46">
      <c r="C46" s="24"/>
      <c r="F46" s="24"/>
      <c r="H46" s="24"/>
      <c r="I46" s="24"/>
      <c r="J46" s="24"/>
    </row>
    <row r="47">
      <c r="C47" s="24"/>
      <c r="F47" s="24"/>
      <c r="H47" s="24"/>
      <c r="I47" s="24"/>
      <c r="J47" s="24"/>
    </row>
    <row r="48">
      <c r="C48" s="24"/>
      <c r="F48" s="24"/>
      <c r="H48" s="24"/>
      <c r="I48" s="24"/>
      <c r="J48" s="24"/>
    </row>
    <row r="49">
      <c r="C49" s="24"/>
      <c r="F49" s="24"/>
      <c r="H49" s="24"/>
      <c r="I49" s="24"/>
      <c r="J49" s="24"/>
    </row>
    <row r="50">
      <c r="C50" s="24"/>
      <c r="F50" s="24"/>
      <c r="H50" s="24"/>
      <c r="I50" s="24"/>
      <c r="J50" s="24"/>
    </row>
    <row r="51">
      <c r="C51" s="24"/>
      <c r="F51" s="24"/>
      <c r="H51" s="24"/>
      <c r="I51" s="24"/>
      <c r="J51" s="24"/>
    </row>
    <row r="52">
      <c r="C52" s="24"/>
      <c r="F52" s="24"/>
      <c r="H52" s="24"/>
      <c r="I52" s="24"/>
      <c r="J52" s="24"/>
    </row>
    <row r="53">
      <c r="C53" s="24"/>
      <c r="F53" s="24"/>
      <c r="H53" s="24"/>
      <c r="I53" s="24"/>
      <c r="J53" s="24"/>
    </row>
    <row r="54">
      <c r="C54" s="24"/>
      <c r="F54" s="24"/>
      <c r="H54" s="24"/>
      <c r="I54" s="24"/>
      <c r="J54" s="24"/>
    </row>
    <row r="55">
      <c r="C55" s="24"/>
      <c r="F55" s="24"/>
      <c r="H55" s="24"/>
      <c r="I55" s="24"/>
      <c r="J55" s="24"/>
    </row>
    <row r="56">
      <c r="C56" s="24"/>
      <c r="F56" s="24"/>
      <c r="H56" s="24"/>
      <c r="I56" s="24"/>
      <c r="J56" s="24"/>
    </row>
    <row r="57">
      <c r="C57" s="24"/>
      <c r="F57" s="24"/>
      <c r="H57" s="24"/>
      <c r="I57" s="24"/>
      <c r="J57" s="24"/>
    </row>
    <row r="58">
      <c r="C58" s="24"/>
      <c r="F58" s="24"/>
      <c r="H58" s="24"/>
      <c r="I58" s="24"/>
      <c r="J58" s="24"/>
    </row>
    <row r="59">
      <c r="C59" s="24"/>
      <c r="F59" s="24"/>
      <c r="H59" s="24"/>
      <c r="I59" s="24"/>
      <c r="J59" s="24"/>
    </row>
    <row r="60">
      <c r="C60" s="24"/>
      <c r="F60" s="24"/>
      <c r="H60" s="24"/>
      <c r="I60" s="24"/>
      <c r="J60" s="24"/>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sheetData>
  <autoFilter ref="$A$6:$AA$16">
    <sortState ref="A6:AA16">
      <sortCondition ref="B6:B16"/>
    </sortState>
  </autoFilter>
  <mergeCells count="1">
    <mergeCell ref="P1:Q1"/>
  </mergeCells>
  <conditionalFormatting sqref="H1:H977">
    <cfRule type="cellIs" dxfId="0" priority="1" operator="equal">
      <formula>"Y"</formula>
    </cfRule>
  </conditionalFormatting>
  <conditionalFormatting sqref="H1:H977">
    <cfRule type="containsText" dxfId="1" priority="2" operator="containsText" text="N">
      <formula>NOT(ISERROR(SEARCH(("N"),(H1))))</formula>
    </cfRule>
  </conditionalFormatting>
  <dataValidations>
    <dataValidation type="list" allowBlank="1" sqref="C7:C14 I7:I14 C16:C977 I16:I977">
      <formula1>"P1,P2,P3,P4,P5"</formula1>
    </dataValidation>
    <dataValidation type="list" allowBlank="1" sqref="F7:F977 J7:J977">
      <formula1>BaseData!$A$2:$A$103</formula1>
    </dataValidation>
    <dataValidation type="list" allowBlank="1" sqref="H7:H977">
      <formula1>"Y,N"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0.0"/>
    <col customWidth="1" min="3" max="3" width="7.25"/>
    <col customWidth="1" min="4" max="4" width="26.5"/>
    <col customWidth="1" min="5" max="5" width="8.88"/>
    <col customWidth="1" min="6" max="6" width="18.63"/>
    <col customWidth="1" min="7" max="7" width="8.75"/>
    <col customWidth="1" min="8" max="8" width="11.0"/>
    <col customWidth="1" min="9" max="9" width="5.13"/>
    <col customWidth="1" min="10" max="10" width="15.38"/>
    <col customWidth="1" min="11" max="11" width="10.88"/>
    <col customWidth="1" min="12" max="12" width="46.0"/>
  </cols>
  <sheetData>
    <row r="1">
      <c r="J1" s="8"/>
    </row>
    <row r="2">
      <c r="A2" s="8"/>
      <c r="B2" s="8"/>
      <c r="E2" s="8"/>
      <c r="F2" s="12" t="s">
        <v>25</v>
      </c>
      <c r="G2" s="1">
        <f>countifs(A:A,"&lt;&gt;NEW",A:A,"&lt;&gt;")-1</f>
        <v>86</v>
      </c>
      <c r="H2" s="8"/>
      <c r="I2" s="51"/>
      <c r="J2" s="8"/>
    </row>
    <row r="3">
      <c r="A3" s="8"/>
      <c r="B3" s="8"/>
      <c r="D3" s="16"/>
      <c r="E3" s="8"/>
      <c r="F3" s="17" t="s">
        <v>41</v>
      </c>
      <c r="G3" s="18">
        <f>countif(H:H,"=Y")</f>
        <v>27</v>
      </c>
      <c r="H3" s="8"/>
      <c r="I3" s="8"/>
      <c r="J3" s="8"/>
    </row>
    <row r="4">
      <c r="A4" s="8"/>
      <c r="B4" s="8"/>
      <c r="E4" s="8"/>
      <c r="F4" s="17" t="s">
        <v>45</v>
      </c>
      <c r="G4" s="18">
        <f>COUNTIF(A:A,"=NEW")</f>
        <v>0</v>
      </c>
      <c r="H4" s="8"/>
      <c r="I4" s="8"/>
      <c r="J4" s="8"/>
    </row>
    <row r="5">
      <c r="A5" s="8"/>
      <c r="B5" s="8"/>
      <c r="C5" s="8"/>
      <c r="D5" s="8"/>
      <c r="E5" s="8"/>
      <c r="F5" s="8"/>
      <c r="G5" s="8"/>
      <c r="H5" s="8"/>
      <c r="I5" s="8"/>
      <c r="J5" s="8"/>
    </row>
    <row r="6">
      <c r="A6" s="1" t="s">
        <v>52</v>
      </c>
      <c r="B6" s="1" t="s">
        <v>53</v>
      </c>
      <c r="C6" s="1" t="s">
        <v>54</v>
      </c>
      <c r="D6" s="1" t="s">
        <v>55</v>
      </c>
      <c r="E6" s="1" t="s">
        <v>56</v>
      </c>
      <c r="F6" s="1" t="s">
        <v>57</v>
      </c>
      <c r="G6" s="1" t="s">
        <v>58</v>
      </c>
      <c r="H6" s="18" t="s">
        <v>59</v>
      </c>
      <c r="I6" s="18" t="s">
        <v>60</v>
      </c>
      <c r="J6" s="18" t="s">
        <v>61</v>
      </c>
      <c r="K6" s="18"/>
      <c r="L6" s="18"/>
    </row>
    <row r="7">
      <c r="A7" s="19" t="s">
        <v>325</v>
      </c>
      <c r="B7" s="19" t="s">
        <v>326</v>
      </c>
      <c r="C7" s="19" t="s">
        <v>135</v>
      </c>
      <c r="D7" s="19" t="s">
        <v>327</v>
      </c>
      <c r="E7" s="19" t="s">
        <v>328</v>
      </c>
      <c r="F7" s="19"/>
      <c r="G7" s="19" t="s">
        <v>225</v>
      </c>
      <c r="H7" s="52" t="s">
        <v>143</v>
      </c>
      <c r="I7" s="19" t="s">
        <v>135</v>
      </c>
      <c r="J7" s="19" t="s">
        <v>329</v>
      </c>
      <c r="K7" s="25" t="str">
        <f>HYPERLINK("https://maxxton.atlassian.net/browse/QA-29033","QA-29033")</f>
        <v>QA-29033</v>
      </c>
      <c r="L7" s="19" t="s">
        <v>330</v>
      </c>
    </row>
    <row r="8">
      <c r="A8" s="19" t="s">
        <v>331</v>
      </c>
      <c r="B8" s="19" t="s">
        <v>332</v>
      </c>
      <c r="C8" s="19" t="s">
        <v>135</v>
      </c>
      <c r="D8" s="19" t="s">
        <v>327</v>
      </c>
      <c r="E8" s="19" t="s">
        <v>328</v>
      </c>
      <c r="F8" s="19"/>
      <c r="G8" s="19" t="s">
        <v>225</v>
      </c>
      <c r="H8" s="52" t="s">
        <v>143</v>
      </c>
      <c r="I8" s="19" t="s">
        <v>135</v>
      </c>
      <c r="J8" s="19" t="s">
        <v>329</v>
      </c>
      <c r="K8" s="25" t="str">
        <f>HYPERLINK("https://maxxton.atlassian.net/browse/QA-29034","QA-29034")</f>
        <v>QA-29034</v>
      </c>
      <c r="L8" s="19" t="s">
        <v>330</v>
      </c>
    </row>
    <row r="9">
      <c r="A9" s="19" t="s">
        <v>333</v>
      </c>
      <c r="B9" s="19" t="s">
        <v>334</v>
      </c>
      <c r="C9" s="19" t="s">
        <v>135</v>
      </c>
      <c r="D9" s="19" t="s">
        <v>327</v>
      </c>
      <c r="E9" s="19" t="s">
        <v>328</v>
      </c>
      <c r="F9" s="19"/>
      <c r="G9" s="19" t="s">
        <v>225</v>
      </c>
      <c r="H9" s="52" t="s">
        <v>143</v>
      </c>
      <c r="I9" s="19" t="s">
        <v>135</v>
      </c>
      <c r="J9" s="19" t="s">
        <v>109</v>
      </c>
      <c r="K9" s="25" t="str">
        <f>HYPERLINK("https://maxxton.atlassian.net/browse/QA-29035","QA-29035")</f>
        <v>QA-29035</v>
      </c>
      <c r="L9" s="19" t="s">
        <v>330</v>
      </c>
    </row>
    <row r="10">
      <c r="A10" s="19" t="s">
        <v>335</v>
      </c>
      <c r="B10" s="19" t="s">
        <v>336</v>
      </c>
      <c r="C10" s="19" t="s">
        <v>135</v>
      </c>
      <c r="D10" s="19" t="s">
        <v>327</v>
      </c>
      <c r="E10" s="19" t="s">
        <v>328</v>
      </c>
      <c r="F10" s="19"/>
      <c r="G10" s="19" t="s">
        <v>225</v>
      </c>
      <c r="H10" s="52" t="s">
        <v>143</v>
      </c>
      <c r="I10" s="19" t="s">
        <v>135</v>
      </c>
      <c r="J10" s="19" t="s">
        <v>337</v>
      </c>
      <c r="K10" s="25" t="str">
        <f>HYPERLINK("https://maxxton.atlassian.net/browse/QA-29036","QA-29036")</f>
        <v>QA-29036</v>
      </c>
      <c r="L10" s="19" t="s">
        <v>330</v>
      </c>
    </row>
    <row r="11">
      <c r="A11" s="19" t="s">
        <v>338</v>
      </c>
      <c r="B11" s="19" t="s">
        <v>339</v>
      </c>
      <c r="C11" s="19" t="s">
        <v>135</v>
      </c>
      <c r="D11" s="19" t="s">
        <v>327</v>
      </c>
      <c r="E11" s="19" t="s">
        <v>328</v>
      </c>
      <c r="F11" s="19"/>
      <c r="G11" s="19" t="s">
        <v>225</v>
      </c>
      <c r="H11" s="52" t="s">
        <v>143</v>
      </c>
      <c r="I11" s="19" t="s">
        <v>135</v>
      </c>
      <c r="J11" s="19" t="s">
        <v>337</v>
      </c>
      <c r="K11" s="25" t="str">
        <f>HYPERLINK("https://maxxton.atlassian.net/browse/QA-29037","QA-29037")</f>
        <v>QA-29037</v>
      </c>
      <c r="L11" s="19" t="s">
        <v>330</v>
      </c>
    </row>
    <row r="12">
      <c r="A12" s="19" t="s">
        <v>340</v>
      </c>
      <c r="B12" s="19" t="s">
        <v>341</v>
      </c>
      <c r="C12" s="19" t="s">
        <v>135</v>
      </c>
      <c r="D12" s="19" t="s">
        <v>327</v>
      </c>
      <c r="E12" s="19" t="s">
        <v>328</v>
      </c>
      <c r="F12" s="19"/>
      <c r="G12" s="19" t="s">
        <v>225</v>
      </c>
      <c r="H12" s="52" t="s">
        <v>143</v>
      </c>
      <c r="I12" s="19" t="s">
        <v>135</v>
      </c>
      <c r="J12" s="19" t="s">
        <v>337</v>
      </c>
      <c r="K12" s="25" t="str">
        <f>HYPERLINK("https://maxxton.atlassian.net/browse/QA-29038","QA-29038")</f>
        <v>QA-29038</v>
      </c>
      <c r="L12" s="19" t="s">
        <v>330</v>
      </c>
    </row>
    <row r="13">
      <c r="A13" s="19" t="s">
        <v>342</v>
      </c>
      <c r="B13" s="19" t="s">
        <v>343</v>
      </c>
      <c r="C13" s="19" t="s">
        <v>135</v>
      </c>
      <c r="D13" s="19" t="s">
        <v>327</v>
      </c>
      <c r="E13" s="19" t="s">
        <v>328</v>
      </c>
      <c r="F13" s="19"/>
      <c r="G13" s="19" t="s">
        <v>225</v>
      </c>
      <c r="H13" s="52" t="s">
        <v>143</v>
      </c>
      <c r="I13" s="19" t="s">
        <v>135</v>
      </c>
      <c r="J13" s="19" t="s">
        <v>109</v>
      </c>
      <c r="K13" s="25" t="str">
        <f>HYPERLINK("https://maxxton.atlassian.net/browse/QA-29039","QA-29039")</f>
        <v>QA-29039</v>
      </c>
      <c r="L13" s="19" t="s">
        <v>330</v>
      </c>
    </row>
    <row r="14">
      <c r="A14" s="25" t="str">
        <f>HYPERLINK("https://maxxton.atlassian.net/browse/QA-17365","QA-17365")</f>
        <v>QA-17365</v>
      </c>
      <c r="B14" s="19" t="s">
        <v>344</v>
      </c>
      <c r="C14" s="19" t="s">
        <v>135</v>
      </c>
      <c r="D14" s="19" t="s">
        <v>327</v>
      </c>
      <c r="E14" s="19" t="s">
        <v>328</v>
      </c>
      <c r="F14" s="19" t="s">
        <v>109</v>
      </c>
      <c r="G14" s="19" t="s">
        <v>225</v>
      </c>
      <c r="H14" s="52" t="s">
        <v>143</v>
      </c>
      <c r="I14" s="19" t="s">
        <v>135</v>
      </c>
      <c r="J14" s="19" t="s">
        <v>337</v>
      </c>
      <c r="K14" s="26" t="str">
        <f>HYPERLINK("https://maxxton.atlassian.net/browse/QA-29040","QA-29040")</f>
        <v>QA-29040</v>
      </c>
      <c r="L14" s="19" t="s">
        <v>330</v>
      </c>
    </row>
    <row r="15">
      <c r="A15" s="19" t="s">
        <v>345</v>
      </c>
      <c r="B15" s="19" t="s">
        <v>346</v>
      </c>
      <c r="C15" s="19" t="s">
        <v>135</v>
      </c>
      <c r="D15" s="19" t="s">
        <v>327</v>
      </c>
      <c r="E15" s="19" t="s">
        <v>328</v>
      </c>
      <c r="F15" s="21"/>
      <c r="G15" s="19" t="s">
        <v>225</v>
      </c>
      <c r="H15" s="52" t="s">
        <v>143</v>
      </c>
      <c r="I15" s="19" t="s">
        <v>135</v>
      </c>
      <c r="J15" s="19" t="s">
        <v>337</v>
      </c>
      <c r="K15" s="25" t="str">
        <f>HYPERLINK("https://maxxton.atlassian.net/browse/QA-29041","QA-29041")</f>
        <v>QA-29041</v>
      </c>
      <c r="L15" s="8" t="s">
        <v>330</v>
      </c>
    </row>
    <row r="16">
      <c r="A16" s="25" t="str">
        <f>HYPERLINK("https://maxxton.atlassian.net/browse/QA-22306","QA-22306")</f>
        <v>QA-22306</v>
      </c>
      <c r="B16" s="19" t="s">
        <v>347</v>
      </c>
      <c r="C16" s="21" t="s">
        <v>95</v>
      </c>
      <c r="D16" s="19" t="s">
        <v>327</v>
      </c>
      <c r="E16" s="19" t="s">
        <v>328</v>
      </c>
      <c r="F16" s="19" t="s">
        <v>109</v>
      </c>
      <c r="G16" s="19" t="s">
        <v>225</v>
      </c>
      <c r="H16" s="52" t="s">
        <v>143</v>
      </c>
      <c r="I16" s="19" t="s">
        <v>95</v>
      </c>
      <c r="J16" s="19" t="s">
        <v>337</v>
      </c>
      <c r="K16" s="26" t="str">
        <f>HYPERLINK("https://maxxton.atlassian.net/browse/QA-29042","QA-29042")</f>
        <v>QA-29042</v>
      </c>
      <c r="L16" s="19" t="s">
        <v>330</v>
      </c>
    </row>
    <row r="17">
      <c r="A17" s="19" t="s">
        <v>348</v>
      </c>
      <c r="B17" s="19" t="s">
        <v>349</v>
      </c>
      <c r="C17" s="19" t="s">
        <v>95</v>
      </c>
      <c r="D17" s="19" t="s">
        <v>327</v>
      </c>
      <c r="E17" s="19" t="s">
        <v>328</v>
      </c>
      <c r="F17" s="19"/>
      <c r="G17" s="19" t="s">
        <v>110</v>
      </c>
      <c r="H17" s="52" t="s">
        <v>98</v>
      </c>
      <c r="I17" s="19" t="s">
        <v>95</v>
      </c>
      <c r="J17" s="19"/>
      <c r="K17" s="19"/>
      <c r="L17" s="19"/>
    </row>
    <row r="18">
      <c r="A18" s="19" t="s">
        <v>350</v>
      </c>
      <c r="B18" s="19" t="s">
        <v>351</v>
      </c>
      <c r="C18" s="19" t="s">
        <v>95</v>
      </c>
      <c r="D18" s="19" t="s">
        <v>327</v>
      </c>
      <c r="E18" s="19" t="s">
        <v>328</v>
      </c>
      <c r="F18" s="19"/>
      <c r="G18" s="19" t="s">
        <v>225</v>
      </c>
      <c r="H18" s="52" t="s">
        <v>98</v>
      </c>
      <c r="I18" s="19" t="s">
        <v>95</v>
      </c>
      <c r="J18" s="19" t="s">
        <v>329</v>
      </c>
      <c r="K18" s="25" t="str">
        <f>HYPERLINK("https://maxxton.atlassian.net/browse/QA-27854","QA-27854")</f>
        <v>QA-27854</v>
      </c>
      <c r="L18" s="19"/>
    </row>
    <row r="19">
      <c r="A19" s="19" t="s">
        <v>352</v>
      </c>
      <c r="B19" s="19" t="s">
        <v>353</v>
      </c>
      <c r="C19" s="19" t="s">
        <v>95</v>
      </c>
      <c r="D19" s="19" t="s">
        <v>327</v>
      </c>
      <c r="E19" s="19" t="s">
        <v>328</v>
      </c>
      <c r="F19" s="19"/>
      <c r="G19" s="19" t="s">
        <v>225</v>
      </c>
      <c r="H19" s="52" t="s">
        <v>98</v>
      </c>
      <c r="I19" s="19" t="s">
        <v>95</v>
      </c>
      <c r="J19" s="19" t="s">
        <v>329</v>
      </c>
      <c r="K19" s="25" t="str">
        <f>HYPERLINK("https://maxxton.atlassian.net/browse/QA-27855","QA-27855")</f>
        <v>QA-27855</v>
      </c>
      <c r="L19" s="19"/>
    </row>
    <row r="20">
      <c r="A20" s="19" t="s">
        <v>354</v>
      </c>
      <c r="B20" s="19" t="s">
        <v>355</v>
      </c>
      <c r="C20" s="19" t="s">
        <v>95</v>
      </c>
      <c r="D20" s="19" t="s">
        <v>356</v>
      </c>
      <c r="E20" s="19" t="s">
        <v>328</v>
      </c>
      <c r="F20" s="19"/>
      <c r="G20" s="19" t="s">
        <v>110</v>
      </c>
      <c r="H20" s="52" t="s">
        <v>98</v>
      </c>
      <c r="I20" s="19" t="s">
        <v>95</v>
      </c>
      <c r="J20" s="19" t="s">
        <v>337</v>
      </c>
      <c r="K20" s="25" t="str">
        <f>HYPERLINK("https://maxxton.atlassian.net/browse/QA-26108","QA-26108")</f>
        <v>QA-26108</v>
      </c>
      <c r="L20" s="19"/>
    </row>
    <row r="21">
      <c r="A21" s="19" t="s">
        <v>357</v>
      </c>
      <c r="B21" s="19" t="s">
        <v>358</v>
      </c>
      <c r="C21" s="19" t="s">
        <v>95</v>
      </c>
      <c r="D21" s="19" t="s">
        <v>359</v>
      </c>
      <c r="E21" s="19" t="s">
        <v>328</v>
      </c>
      <c r="F21" s="19"/>
      <c r="G21" s="19" t="s">
        <v>110</v>
      </c>
      <c r="H21" s="52" t="s">
        <v>98</v>
      </c>
      <c r="I21" s="19" t="s">
        <v>95</v>
      </c>
      <c r="J21" s="19" t="s">
        <v>329</v>
      </c>
      <c r="K21" s="25" t="str">
        <f>HYPERLINK("https://maxxton.atlassian.net/browse/QA-26109","QA-26109")</f>
        <v>QA-26109</v>
      </c>
      <c r="L21" s="19"/>
    </row>
    <row r="22">
      <c r="A22" s="19" t="s">
        <v>360</v>
      </c>
      <c r="B22" s="19" t="s">
        <v>361</v>
      </c>
      <c r="C22" s="19" t="s">
        <v>95</v>
      </c>
      <c r="D22" s="19" t="s">
        <v>362</v>
      </c>
      <c r="E22" s="19" t="s">
        <v>328</v>
      </c>
      <c r="F22" s="19"/>
      <c r="G22" s="19" t="s">
        <v>110</v>
      </c>
      <c r="H22" s="52" t="s">
        <v>98</v>
      </c>
      <c r="I22" s="19" t="s">
        <v>95</v>
      </c>
      <c r="J22" s="19" t="s">
        <v>337</v>
      </c>
      <c r="K22" s="19"/>
      <c r="L22" s="19"/>
    </row>
    <row r="23">
      <c r="A23" s="19" t="s">
        <v>363</v>
      </c>
      <c r="B23" s="19" t="s">
        <v>364</v>
      </c>
      <c r="C23" s="19" t="s">
        <v>95</v>
      </c>
      <c r="D23" s="19" t="s">
        <v>365</v>
      </c>
      <c r="E23" s="19" t="s">
        <v>328</v>
      </c>
      <c r="F23" s="19"/>
      <c r="G23" s="19" t="s">
        <v>110</v>
      </c>
      <c r="H23" s="52" t="s">
        <v>98</v>
      </c>
      <c r="I23" s="19" t="s">
        <v>95</v>
      </c>
      <c r="J23" s="19" t="s">
        <v>337</v>
      </c>
      <c r="K23" s="19"/>
      <c r="L23" s="19"/>
    </row>
    <row r="24">
      <c r="A24" s="19" t="s">
        <v>366</v>
      </c>
      <c r="B24" s="19" t="s">
        <v>367</v>
      </c>
      <c r="C24" s="19" t="s">
        <v>95</v>
      </c>
      <c r="D24" s="19" t="s">
        <v>368</v>
      </c>
      <c r="E24" s="19" t="s">
        <v>328</v>
      </c>
      <c r="F24" s="19"/>
      <c r="G24" s="19" t="s">
        <v>110</v>
      </c>
      <c r="H24" s="52" t="s">
        <v>98</v>
      </c>
      <c r="I24" s="19" t="s">
        <v>95</v>
      </c>
      <c r="J24" s="19" t="s">
        <v>337</v>
      </c>
      <c r="K24" s="19"/>
      <c r="L24" s="19"/>
    </row>
    <row r="25">
      <c r="A25" s="19" t="s">
        <v>369</v>
      </c>
      <c r="B25" s="19" t="s">
        <v>370</v>
      </c>
      <c r="C25" s="19" t="s">
        <v>95</v>
      </c>
      <c r="D25" s="19" t="s">
        <v>371</v>
      </c>
      <c r="E25" s="19" t="s">
        <v>328</v>
      </c>
      <c r="F25" s="19"/>
      <c r="G25" s="19" t="s">
        <v>110</v>
      </c>
      <c r="H25" s="52" t="s">
        <v>98</v>
      </c>
      <c r="I25" s="19" t="s">
        <v>95</v>
      </c>
      <c r="J25" s="19" t="s">
        <v>337</v>
      </c>
      <c r="K25" s="25" t="str">
        <f>HYPERLINK("https://maxxton.atlassian.net/browse/QA-28277","QA-28277")</f>
        <v>QA-28277</v>
      </c>
      <c r="L25" s="19"/>
    </row>
    <row r="26">
      <c r="A26" s="19" t="s">
        <v>372</v>
      </c>
      <c r="B26" s="19" t="s">
        <v>373</v>
      </c>
      <c r="C26" s="19" t="s">
        <v>95</v>
      </c>
      <c r="D26" s="19" t="s">
        <v>374</v>
      </c>
      <c r="E26" s="19" t="s">
        <v>328</v>
      </c>
      <c r="F26" s="19"/>
      <c r="G26" s="19" t="s">
        <v>110</v>
      </c>
      <c r="H26" s="52" t="s">
        <v>98</v>
      </c>
      <c r="I26" s="19" t="s">
        <v>95</v>
      </c>
      <c r="J26" s="19" t="s">
        <v>337</v>
      </c>
      <c r="K26" s="19"/>
      <c r="L26" s="19"/>
    </row>
    <row r="27">
      <c r="A27" s="19" t="s">
        <v>375</v>
      </c>
      <c r="B27" s="19" t="s">
        <v>376</v>
      </c>
      <c r="C27" s="19" t="s">
        <v>95</v>
      </c>
      <c r="D27" s="19" t="s">
        <v>377</v>
      </c>
      <c r="E27" s="19" t="s">
        <v>328</v>
      </c>
      <c r="F27" s="19"/>
      <c r="G27" s="19" t="s">
        <v>110</v>
      </c>
      <c r="H27" s="52" t="s">
        <v>98</v>
      </c>
      <c r="I27" s="19" t="s">
        <v>95</v>
      </c>
      <c r="J27" s="19" t="s">
        <v>337</v>
      </c>
      <c r="K27" s="25" t="str">
        <f>HYPERLINK("https://maxxton.atlassian.net/browse/QA-26110","QA-26110")</f>
        <v>QA-26110</v>
      </c>
      <c r="L27" s="19"/>
    </row>
    <row r="28">
      <c r="A28" s="19" t="s">
        <v>378</v>
      </c>
      <c r="B28" s="19" t="s">
        <v>379</v>
      </c>
      <c r="C28" s="19" t="s">
        <v>95</v>
      </c>
      <c r="D28" s="19" t="s">
        <v>377</v>
      </c>
      <c r="E28" s="19" t="s">
        <v>328</v>
      </c>
      <c r="F28" s="19"/>
      <c r="G28" s="19" t="s">
        <v>110</v>
      </c>
      <c r="H28" s="52" t="s">
        <v>98</v>
      </c>
      <c r="I28" s="19" t="s">
        <v>95</v>
      </c>
      <c r="J28" s="19" t="s">
        <v>337</v>
      </c>
      <c r="K28" s="19"/>
      <c r="L28" s="19"/>
    </row>
    <row r="29">
      <c r="A29" s="19" t="s">
        <v>380</v>
      </c>
      <c r="B29" s="19" t="s">
        <v>381</v>
      </c>
      <c r="C29" s="19" t="s">
        <v>95</v>
      </c>
      <c r="D29" s="19" t="s">
        <v>382</v>
      </c>
      <c r="E29" s="19" t="s">
        <v>328</v>
      </c>
      <c r="F29" s="19"/>
      <c r="G29" s="19" t="s">
        <v>110</v>
      </c>
      <c r="H29" s="52" t="s">
        <v>98</v>
      </c>
      <c r="I29" s="19" t="s">
        <v>95</v>
      </c>
      <c r="J29" s="19" t="s">
        <v>337</v>
      </c>
      <c r="K29" s="25" t="str">
        <f>HYPERLINK("https://maxxton.atlassian.net/browse/QA-27582","QA-27582")</f>
        <v>QA-27582</v>
      </c>
      <c r="L29" s="19"/>
    </row>
    <row r="30">
      <c r="A30" s="19" t="s">
        <v>383</v>
      </c>
      <c r="B30" s="19" t="s">
        <v>384</v>
      </c>
      <c r="C30" s="19" t="s">
        <v>95</v>
      </c>
      <c r="D30" s="19" t="s">
        <v>385</v>
      </c>
      <c r="E30" s="19" t="s">
        <v>328</v>
      </c>
      <c r="F30" s="19"/>
      <c r="G30" s="19" t="s">
        <v>110</v>
      </c>
      <c r="H30" s="52" t="s">
        <v>98</v>
      </c>
      <c r="I30" s="19" t="s">
        <v>95</v>
      </c>
      <c r="J30" s="19" t="s">
        <v>337</v>
      </c>
      <c r="K30" s="25" t="str">
        <f>HYPERLINK("https://maxxton.atlassian.net/browse/QA-25388","QA-25388")</f>
        <v>QA-25388</v>
      </c>
    </row>
    <row r="31">
      <c r="A31" s="19" t="s">
        <v>386</v>
      </c>
      <c r="B31" s="19" t="s">
        <v>387</v>
      </c>
      <c r="C31" s="19" t="s">
        <v>95</v>
      </c>
      <c r="D31" s="19" t="s">
        <v>388</v>
      </c>
      <c r="E31" s="19" t="s">
        <v>328</v>
      </c>
      <c r="F31" s="19"/>
      <c r="G31" s="19" t="s">
        <v>110</v>
      </c>
      <c r="H31" s="52" t="s">
        <v>98</v>
      </c>
      <c r="I31" s="19" t="s">
        <v>95</v>
      </c>
      <c r="J31" s="19" t="s">
        <v>337</v>
      </c>
      <c r="K31" s="25" t="str">
        <f>HYPERLINK("https://maxxton.atlassian.net/browse/QA-28278","QA-28278")</f>
        <v>QA-28278</v>
      </c>
    </row>
    <row r="32">
      <c r="A32" s="19" t="s">
        <v>389</v>
      </c>
      <c r="B32" s="19" t="s">
        <v>390</v>
      </c>
      <c r="C32" s="19" t="s">
        <v>95</v>
      </c>
      <c r="D32" s="19" t="s">
        <v>391</v>
      </c>
      <c r="E32" s="19" t="s">
        <v>328</v>
      </c>
      <c r="F32" s="21"/>
      <c r="G32" s="19" t="s">
        <v>110</v>
      </c>
      <c r="H32" s="52" t="s">
        <v>98</v>
      </c>
      <c r="I32" s="19" t="s">
        <v>95</v>
      </c>
      <c r="J32" s="19" t="s">
        <v>337</v>
      </c>
      <c r="K32" s="25" t="str">
        <f>HYPERLINK("https://maxxton.atlassian.net/browse/QA-28279","QA-28279")</f>
        <v>QA-28279</v>
      </c>
    </row>
    <row r="33">
      <c r="A33" s="19" t="s">
        <v>392</v>
      </c>
      <c r="B33" s="19" t="s">
        <v>393</v>
      </c>
      <c r="C33" s="19" t="s">
        <v>95</v>
      </c>
      <c r="D33" s="19" t="s">
        <v>394</v>
      </c>
      <c r="E33" s="19" t="s">
        <v>328</v>
      </c>
      <c r="F33" s="21"/>
      <c r="G33" s="19" t="s">
        <v>110</v>
      </c>
      <c r="H33" s="52" t="s">
        <v>98</v>
      </c>
      <c r="I33" s="19" t="s">
        <v>95</v>
      </c>
      <c r="J33" s="19" t="s">
        <v>337</v>
      </c>
      <c r="K33" s="25" t="str">
        <f>HYPERLINK("https://maxxton.atlassian.net/browse/QA-27585","QA-27585")</f>
        <v>QA-27585</v>
      </c>
    </row>
    <row r="34">
      <c r="A34" s="19" t="s">
        <v>395</v>
      </c>
      <c r="B34" s="19" t="s">
        <v>396</v>
      </c>
      <c r="C34" s="19" t="s">
        <v>95</v>
      </c>
      <c r="D34" s="19" t="s">
        <v>397</v>
      </c>
      <c r="E34" s="19" t="s">
        <v>328</v>
      </c>
      <c r="F34" s="21"/>
      <c r="G34" s="19" t="s">
        <v>110</v>
      </c>
      <c r="H34" s="52" t="s">
        <v>98</v>
      </c>
      <c r="I34" s="19" t="s">
        <v>95</v>
      </c>
      <c r="J34" s="19" t="s">
        <v>337</v>
      </c>
      <c r="K34" s="25" t="str">
        <f>HYPERLINK("https://maxxton.atlassian.net/browse/QA-28280","QA-28280")</f>
        <v>QA-28280</v>
      </c>
    </row>
    <row r="35">
      <c r="A35" s="19" t="s">
        <v>398</v>
      </c>
      <c r="B35" s="19" t="s">
        <v>399</v>
      </c>
      <c r="C35" s="19" t="s">
        <v>95</v>
      </c>
      <c r="D35" s="19" t="s">
        <v>400</v>
      </c>
      <c r="E35" s="19" t="s">
        <v>328</v>
      </c>
      <c r="F35" s="21"/>
      <c r="G35" s="19" t="s">
        <v>110</v>
      </c>
      <c r="H35" s="52" t="s">
        <v>98</v>
      </c>
      <c r="I35" s="19" t="s">
        <v>95</v>
      </c>
      <c r="J35" s="19" t="s">
        <v>337</v>
      </c>
      <c r="K35" s="25" t="str">
        <f>HYPERLINK("https://maxxton.atlassian.net/browse/QA-28281","QA-28281")</f>
        <v>QA-28281</v>
      </c>
    </row>
    <row r="36">
      <c r="A36" s="19" t="s">
        <v>401</v>
      </c>
      <c r="B36" s="19" t="s">
        <v>402</v>
      </c>
      <c r="C36" s="19" t="s">
        <v>95</v>
      </c>
      <c r="D36" s="19" t="s">
        <v>403</v>
      </c>
      <c r="E36" s="19" t="s">
        <v>328</v>
      </c>
      <c r="F36" s="21"/>
      <c r="G36" s="19" t="s">
        <v>110</v>
      </c>
      <c r="H36" s="52" t="s">
        <v>98</v>
      </c>
      <c r="I36" s="19" t="s">
        <v>95</v>
      </c>
      <c r="J36" s="19" t="s">
        <v>337</v>
      </c>
      <c r="K36" s="25" t="str">
        <f>HYPERLINK("https://maxxton.atlassian.net/browse/QA-26114","QA-26114")</f>
        <v>QA-26114</v>
      </c>
    </row>
    <row r="37">
      <c r="A37" s="19" t="s">
        <v>404</v>
      </c>
      <c r="B37" s="19" t="s">
        <v>405</v>
      </c>
      <c r="C37" s="19" t="s">
        <v>95</v>
      </c>
      <c r="D37" s="19" t="s">
        <v>403</v>
      </c>
      <c r="E37" s="19" t="s">
        <v>328</v>
      </c>
      <c r="F37" s="21"/>
      <c r="G37" s="19" t="s">
        <v>110</v>
      </c>
      <c r="H37" s="52" t="s">
        <v>98</v>
      </c>
      <c r="I37" s="19" t="s">
        <v>95</v>
      </c>
      <c r="J37" s="19" t="s">
        <v>337</v>
      </c>
      <c r="K37" s="25" t="str">
        <f>HYPERLINK("https://maxxton.atlassian.net/browse/QA-26115","QA-26115")</f>
        <v>QA-26115</v>
      </c>
    </row>
    <row r="38">
      <c r="A38" s="19" t="s">
        <v>406</v>
      </c>
      <c r="B38" s="19" t="s">
        <v>407</v>
      </c>
      <c r="C38" s="19" t="s">
        <v>95</v>
      </c>
      <c r="D38" s="19" t="s">
        <v>403</v>
      </c>
      <c r="E38" s="19" t="s">
        <v>328</v>
      </c>
      <c r="F38" s="21"/>
      <c r="G38" s="19" t="s">
        <v>110</v>
      </c>
      <c r="H38" s="52" t="s">
        <v>98</v>
      </c>
      <c r="I38" s="19" t="s">
        <v>95</v>
      </c>
      <c r="J38" s="19" t="s">
        <v>337</v>
      </c>
      <c r="K38" s="25" t="str">
        <f>HYPERLINK("https://maxxton.atlassian.net/browse/QA-27588","QA-27588")</f>
        <v>QA-27588</v>
      </c>
    </row>
    <row r="39">
      <c r="A39" s="19" t="s">
        <v>408</v>
      </c>
      <c r="B39" s="19" t="s">
        <v>409</v>
      </c>
      <c r="C39" s="19" t="s">
        <v>95</v>
      </c>
      <c r="D39" s="19" t="s">
        <v>403</v>
      </c>
      <c r="E39" s="19" t="s">
        <v>328</v>
      </c>
      <c r="F39" s="21"/>
      <c r="G39" s="19" t="s">
        <v>110</v>
      </c>
      <c r="H39" s="52" t="s">
        <v>98</v>
      </c>
      <c r="I39" s="19" t="s">
        <v>95</v>
      </c>
      <c r="J39" s="19" t="s">
        <v>337</v>
      </c>
      <c r="K39" s="25" t="str">
        <f>HYPERLINK("https://maxxton.atlassian.net/browse/QA-28282","QA-28282")</f>
        <v>QA-28282</v>
      </c>
    </row>
    <row r="40">
      <c r="A40" s="19" t="s">
        <v>410</v>
      </c>
      <c r="B40" s="19" t="s">
        <v>411</v>
      </c>
      <c r="C40" s="19" t="s">
        <v>95</v>
      </c>
      <c r="D40" s="19" t="s">
        <v>403</v>
      </c>
      <c r="E40" s="19" t="s">
        <v>328</v>
      </c>
      <c r="F40" s="21"/>
      <c r="G40" s="19" t="s">
        <v>110</v>
      </c>
      <c r="H40" s="52" t="s">
        <v>98</v>
      </c>
      <c r="I40" s="19" t="s">
        <v>95</v>
      </c>
      <c r="J40" s="19" t="s">
        <v>337</v>
      </c>
      <c r="K40" s="25" t="str">
        <f>HYPERLINK("https://maxxton.atlassian.net/browse/QA-28283","QA-28283")</f>
        <v>QA-28283</v>
      </c>
    </row>
    <row r="41">
      <c r="A41" s="19" t="s">
        <v>412</v>
      </c>
      <c r="B41" s="19" t="s">
        <v>413</v>
      </c>
      <c r="C41" s="19" t="s">
        <v>95</v>
      </c>
      <c r="D41" s="19" t="s">
        <v>403</v>
      </c>
      <c r="E41" s="19" t="s">
        <v>328</v>
      </c>
      <c r="F41" s="21"/>
      <c r="G41" s="19" t="s">
        <v>110</v>
      </c>
      <c r="H41" s="52" t="s">
        <v>98</v>
      </c>
      <c r="I41" s="19" t="s">
        <v>95</v>
      </c>
      <c r="J41" s="19" t="s">
        <v>337</v>
      </c>
      <c r="K41" s="25" t="str">
        <f>HYPERLINK("https://maxxton.atlassian.net/browse/QA-26116","QA-26116")</f>
        <v>QA-26116</v>
      </c>
    </row>
    <row r="42">
      <c r="A42" s="19" t="s">
        <v>414</v>
      </c>
      <c r="B42" s="19" t="s">
        <v>415</v>
      </c>
      <c r="C42" s="19" t="s">
        <v>95</v>
      </c>
      <c r="D42" s="19" t="s">
        <v>403</v>
      </c>
      <c r="E42" s="19" t="s">
        <v>328</v>
      </c>
      <c r="F42" s="21"/>
      <c r="G42" s="19" t="s">
        <v>110</v>
      </c>
      <c r="H42" s="52" t="s">
        <v>98</v>
      </c>
      <c r="I42" s="19" t="s">
        <v>95</v>
      </c>
      <c r="J42" s="19" t="s">
        <v>337</v>
      </c>
      <c r="K42" s="19"/>
    </row>
    <row r="43">
      <c r="A43" s="25" t="str">
        <f>HYPERLINK("https://maxxton.atlassian.net/browse/QA-10931","QA-10931")</f>
        <v>QA-10931</v>
      </c>
      <c r="B43" s="19" t="s">
        <v>416</v>
      </c>
      <c r="C43" s="19" t="s">
        <v>95</v>
      </c>
      <c r="D43" s="19" t="s">
        <v>417</v>
      </c>
      <c r="E43" s="19" t="s">
        <v>328</v>
      </c>
      <c r="F43" s="19" t="s">
        <v>329</v>
      </c>
      <c r="G43" s="19" t="s">
        <v>110</v>
      </c>
      <c r="H43" s="52" t="s">
        <v>98</v>
      </c>
      <c r="I43" s="19" t="s">
        <v>95</v>
      </c>
      <c r="J43" s="19" t="s">
        <v>337</v>
      </c>
      <c r="K43" s="19"/>
    </row>
    <row r="44">
      <c r="A44" s="25" t="str">
        <f>HYPERLINK("https://maxxton.atlassian.net/browse/QA-14413","QA-14413")</f>
        <v>QA-14413</v>
      </c>
      <c r="B44" s="19" t="s">
        <v>418</v>
      </c>
      <c r="C44" s="19" t="s">
        <v>95</v>
      </c>
      <c r="D44" s="19" t="s">
        <v>403</v>
      </c>
      <c r="E44" s="19" t="s">
        <v>328</v>
      </c>
      <c r="F44" s="19" t="s">
        <v>329</v>
      </c>
      <c r="G44" s="19" t="s">
        <v>110</v>
      </c>
      <c r="H44" s="52" t="s">
        <v>98</v>
      </c>
      <c r="I44" s="19" t="s">
        <v>95</v>
      </c>
      <c r="J44" s="19" t="s">
        <v>329</v>
      </c>
      <c r="K44" s="26" t="str">
        <f>HYPERLINK("https://maxxton.atlassian.net/browse/QA-28284","QA-28284")</f>
        <v>QA-28284</v>
      </c>
      <c r="L44" s="19"/>
    </row>
    <row r="45">
      <c r="A45" s="25" t="str">
        <f>HYPERLINK("https://maxxton.atlassian.net/browse/QA-14414","QA-14414")</f>
        <v>QA-14414</v>
      </c>
      <c r="B45" s="19" t="s">
        <v>419</v>
      </c>
      <c r="C45" s="53" t="s">
        <v>95</v>
      </c>
      <c r="D45" s="19" t="s">
        <v>382</v>
      </c>
      <c r="E45" s="19" t="s">
        <v>328</v>
      </c>
      <c r="F45" s="19" t="s">
        <v>329</v>
      </c>
      <c r="G45" s="19" t="s">
        <v>110</v>
      </c>
      <c r="H45" s="52" t="s">
        <v>98</v>
      </c>
      <c r="I45" s="19" t="s">
        <v>95</v>
      </c>
      <c r="J45" s="19" t="s">
        <v>337</v>
      </c>
      <c r="K45" s="26" t="str">
        <f>HYPERLINK("https://maxxton.atlassian.net/browse/QA-25871","QA-25871")</f>
        <v>QA-25871</v>
      </c>
      <c r="L45" s="19"/>
    </row>
    <row r="46">
      <c r="A46" s="25" t="str">
        <f>HYPERLINK("https://maxxton.atlassian.net/browse/QA-14415","QA-14415")</f>
        <v>QA-14415</v>
      </c>
      <c r="B46" s="19" t="s">
        <v>420</v>
      </c>
      <c r="C46" s="19" t="s">
        <v>95</v>
      </c>
      <c r="D46" s="19" t="s">
        <v>403</v>
      </c>
      <c r="E46" s="19" t="s">
        <v>328</v>
      </c>
      <c r="F46" s="19" t="s">
        <v>329</v>
      </c>
      <c r="G46" s="19" t="s">
        <v>110</v>
      </c>
      <c r="H46" s="52" t="s">
        <v>98</v>
      </c>
      <c r="I46" s="19" t="s">
        <v>95</v>
      </c>
      <c r="J46" s="19" t="s">
        <v>337</v>
      </c>
      <c r="K46" s="26" t="str">
        <f>HYPERLINK("https://maxxton.atlassian.net/browse/QA-25872","QA-25872")</f>
        <v>QA-25872</v>
      </c>
      <c r="L46" s="19"/>
    </row>
    <row r="47">
      <c r="A47" s="25" t="str">
        <f>HYPERLINK("https://maxxton.atlassian.net/browse/QA-16289","QA-16289")</f>
        <v>QA-16289</v>
      </c>
      <c r="B47" s="19" t="s">
        <v>421</v>
      </c>
      <c r="C47" s="19" t="s">
        <v>95</v>
      </c>
      <c r="D47" s="19" t="s">
        <v>327</v>
      </c>
      <c r="E47" s="19" t="s">
        <v>328</v>
      </c>
      <c r="F47" s="19" t="s">
        <v>109</v>
      </c>
      <c r="G47" s="19" t="s">
        <v>225</v>
      </c>
      <c r="H47" s="52" t="s">
        <v>98</v>
      </c>
      <c r="I47" s="19" t="s">
        <v>95</v>
      </c>
      <c r="J47" s="19" t="s">
        <v>329</v>
      </c>
      <c r="K47" s="26" t="str">
        <f>HYPERLINK("https://maxxton.atlassian.net/browse/QA-29002","QA-29002")</f>
        <v>QA-29002</v>
      </c>
      <c r="L47" s="19" t="s">
        <v>422</v>
      </c>
    </row>
    <row r="48">
      <c r="A48" s="25" t="str">
        <f>HYPERLINK("https://maxxton.atlassian.net/browse/QA-16290","QA-16290")</f>
        <v>QA-16290</v>
      </c>
      <c r="B48" s="19" t="s">
        <v>423</v>
      </c>
      <c r="C48" s="19" t="s">
        <v>95</v>
      </c>
      <c r="D48" s="19" t="s">
        <v>327</v>
      </c>
      <c r="E48" s="19" t="s">
        <v>328</v>
      </c>
      <c r="F48" s="19" t="s">
        <v>109</v>
      </c>
      <c r="G48" s="19" t="s">
        <v>179</v>
      </c>
      <c r="H48" s="52" t="s">
        <v>98</v>
      </c>
      <c r="I48" s="19" t="s">
        <v>95</v>
      </c>
      <c r="J48" s="19" t="s">
        <v>329</v>
      </c>
      <c r="K48" s="26" t="str">
        <f>HYPERLINK("https://maxxton.atlassian.net/browse/QA-29003","QA-29003")</f>
        <v>QA-29003</v>
      </c>
      <c r="L48" s="19" t="s">
        <v>422</v>
      </c>
    </row>
    <row r="49">
      <c r="A49" s="25" t="str">
        <f>HYPERLINK("https://maxxton.atlassian.net/browse/QA-16291","QA-16291")</f>
        <v>QA-16291</v>
      </c>
      <c r="B49" s="19" t="s">
        <v>424</v>
      </c>
      <c r="C49" s="19" t="s">
        <v>95</v>
      </c>
      <c r="D49" s="19" t="s">
        <v>327</v>
      </c>
      <c r="E49" s="19" t="s">
        <v>328</v>
      </c>
      <c r="F49" s="19" t="s">
        <v>109</v>
      </c>
      <c r="G49" s="19" t="s">
        <v>225</v>
      </c>
      <c r="H49" s="52" t="s">
        <v>98</v>
      </c>
      <c r="I49" s="19" t="s">
        <v>95</v>
      </c>
      <c r="J49" s="19" t="s">
        <v>109</v>
      </c>
      <c r="K49" s="26" t="str">
        <f>HYPERLINK("https://maxxton.atlassian.net/browse/QA-29004","QA-29004")</f>
        <v>QA-29004</v>
      </c>
      <c r="L49" s="19" t="s">
        <v>422</v>
      </c>
    </row>
    <row r="50">
      <c r="A50" s="25" t="str">
        <f>HYPERLINK("https://maxxton.atlassian.net/browse/QA-16292","QA-16292")</f>
        <v>QA-16292</v>
      </c>
      <c r="B50" s="19" t="s">
        <v>425</v>
      </c>
      <c r="C50" s="19" t="s">
        <v>95</v>
      </c>
      <c r="D50" s="19" t="s">
        <v>327</v>
      </c>
      <c r="E50" s="19" t="s">
        <v>328</v>
      </c>
      <c r="F50" s="19" t="s">
        <v>109</v>
      </c>
      <c r="G50" s="19" t="s">
        <v>225</v>
      </c>
      <c r="H50" s="52" t="s">
        <v>98</v>
      </c>
      <c r="I50" s="19" t="s">
        <v>95</v>
      </c>
      <c r="J50" s="19" t="s">
        <v>337</v>
      </c>
      <c r="K50" s="26" t="str">
        <f>HYPERLINK("https://maxxton.atlassian.net/browse/QA-29005","QA-29005")</f>
        <v>QA-29005</v>
      </c>
      <c r="L50" s="19" t="s">
        <v>422</v>
      </c>
    </row>
    <row r="51">
      <c r="A51" s="25" t="str">
        <f>HYPERLINK("https://maxxton.atlassian.net/browse/QA-16293","QA-16293")</f>
        <v>QA-16293</v>
      </c>
      <c r="B51" s="19" t="s">
        <v>426</v>
      </c>
      <c r="C51" s="19" t="s">
        <v>95</v>
      </c>
      <c r="D51" s="19" t="s">
        <v>327</v>
      </c>
      <c r="E51" s="19" t="s">
        <v>328</v>
      </c>
      <c r="F51" s="19" t="s">
        <v>109</v>
      </c>
      <c r="G51" s="19" t="s">
        <v>225</v>
      </c>
      <c r="H51" s="52" t="s">
        <v>98</v>
      </c>
      <c r="I51" s="19" t="s">
        <v>95</v>
      </c>
      <c r="J51" s="19" t="s">
        <v>337</v>
      </c>
      <c r="K51" s="26" t="str">
        <f>HYPERLINK("https://maxxton.atlassian.net/browse/QA-29006","QA-29006")</f>
        <v>QA-29006</v>
      </c>
      <c r="L51" s="19" t="s">
        <v>422</v>
      </c>
    </row>
    <row r="52">
      <c r="A52" s="25" t="str">
        <f>HYPERLINK("https://maxxton.atlassian.net/browse/QA-16294","QA-16294")</f>
        <v>QA-16294</v>
      </c>
      <c r="B52" s="19" t="s">
        <v>427</v>
      </c>
      <c r="C52" s="19" t="s">
        <v>95</v>
      </c>
      <c r="D52" s="19" t="s">
        <v>327</v>
      </c>
      <c r="E52" s="19" t="s">
        <v>328</v>
      </c>
      <c r="F52" s="19" t="s">
        <v>109</v>
      </c>
      <c r="G52" s="19" t="s">
        <v>225</v>
      </c>
      <c r="H52" s="52" t="s">
        <v>98</v>
      </c>
      <c r="I52" s="19" t="s">
        <v>95</v>
      </c>
      <c r="J52" s="19" t="s">
        <v>337</v>
      </c>
      <c r="K52" s="26" t="str">
        <f>HYPERLINK("https://maxxton.atlassian.net/browse/QA-29007","QA-29007")</f>
        <v>QA-29007</v>
      </c>
      <c r="L52" s="19" t="s">
        <v>422</v>
      </c>
    </row>
    <row r="53">
      <c r="A53" s="25" t="str">
        <f>HYPERLINK("https://maxxton.atlassian.net/browse/QA-16295","QA-16295")</f>
        <v>QA-16295</v>
      </c>
      <c r="B53" s="19" t="s">
        <v>428</v>
      </c>
      <c r="C53" s="19" t="s">
        <v>95</v>
      </c>
      <c r="D53" s="19" t="s">
        <v>327</v>
      </c>
      <c r="E53" s="19" t="s">
        <v>328</v>
      </c>
      <c r="F53" s="19" t="s">
        <v>109</v>
      </c>
      <c r="G53" s="19" t="s">
        <v>179</v>
      </c>
      <c r="H53" s="52" t="s">
        <v>98</v>
      </c>
      <c r="I53" s="19" t="s">
        <v>95</v>
      </c>
      <c r="J53" s="19" t="s">
        <v>109</v>
      </c>
      <c r="K53" s="26" t="str">
        <f>HYPERLINK("https://maxxton.atlassian.net/browse/QA-29008","QA-29008")</f>
        <v>QA-29008</v>
      </c>
      <c r="L53" s="19" t="s">
        <v>422</v>
      </c>
    </row>
    <row r="54">
      <c r="A54" s="25" t="str">
        <f>HYPERLINK("https://maxxton.atlassian.net/browse/QA-16296","QA-16296")</f>
        <v>QA-16296</v>
      </c>
      <c r="B54" s="19" t="s">
        <v>429</v>
      </c>
      <c r="C54" s="19" t="s">
        <v>95</v>
      </c>
      <c r="D54" s="19" t="s">
        <v>327</v>
      </c>
      <c r="E54" s="19" t="s">
        <v>328</v>
      </c>
      <c r="F54" s="19" t="s">
        <v>109</v>
      </c>
      <c r="G54" s="19" t="s">
        <v>225</v>
      </c>
      <c r="H54" s="52" t="s">
        <v>98</v>
      </c>
      <c r="I54" s="19" t="s">
        <v>95</v>
      </c>
      <c r="J54" s="19" t="s">
        <v>337</v>
      </c>
      <c r="K54" s="26" t="str">
        <f>HYPERLINK("https://maxxton.atlassian.net/browse/QA-29009","QA-29009")</f>
        <v>QA-29009</v>
      </c>
      <c r="L54" s="19" t="s">
        <v>422</v>
      </c>
    </row>
    <row r="55">
      <c r="A55" s="25" t="str">
        <f>HYPERLINK("https://maxxton.atlassian.net/browse/QA-16297","QA-16297")</f>
        <v>QA-16297</v>
      </c>
      <c r="B55" s="19" t="s">
        <v>430</v>
      </c>
      <c r="C55" s="19" t="s">
        <v>95</v>
      </c>
      <c r="D55" s="19" t="s">
        <v>417</v>
      </c>
      <c r="E55" s="19" t="s">
        <v>328</v>
      </c>
      <c r="F55" s="19" t="s">
        <v>109</v>
      </c>
      <c r="G55" s="19" t="s">
        <v>431</v>
      </c>
      <c r="H55" s="52" t="s">
        <v>98</v>
      </c>
      <c r="I55" s="19" t="s">
        <v>95</v>
      </c>
      <c r="J55" s="19" t="s">
        <v>329</v>
      </c>
      <c r="K55" s="26" t="str">
        <f>HYPERLINK("https://maxxton.atlassian.net/browse/QA-29010","QA-29010")</f>
        <v>QA-29010</v>
      </c>
      <c r="L55" s="19" t="s">
        <v>422</v>
      </c>
    </row>
    <row r="56">
      <c r="A56" s="25" t="str">
        <f>HYPERLINK("https://maxxton.atlassian.net/browse/QA-16298","QA-16298")</f>
        <v>QA-16298</v>
      </c>
      <c r="B56" s="19" t="s">
        <v>432</v>
      </c>
      <c r="C56" s="19" t="s">
        <v>95</v>
      </c>
      <c r="D56" s="19" t="s">
        <v>417</v>
      </c>
      <c r="E56" s="19" t="s">
        <v>328</v>
      </c>
      <c r="F56" s="19" t="s">
        <v>109</v>
      </c>
      <c r="G56" s="19" t="s">
        <v>199</v>
      </c>
      <c r="H56" s="52" t="s">
        <v>98</v>
      </c>
      <c r="I56" s="19" t="s">
        <v>95</v>
      </c>
      <c r="J56" s="19" t="s">
        <v>329</v>
      </c>
      <c r="K56" s="26" t="str">
        <f>HYPERLINK("https://maxxton.atlassian.net/browse/QA-29011","QA-29011")</f>
        <v>QA-29011</v>
      </c>
      <c r="L56" s="19" t="s">
        <v>422</v>
      </c>
    </row>
    <row r="57">
      <c r="A57" s="25" t="str">
        <f>HYPERLINK("https://maxxton.atlassian.net/browse/QA-18644","QA-18644")</f>
        <v>QA-18644</v>
      </c>
      <c r="B57" s="19" t="s">
        <v>433</v>
      </c>
      <c r="C57" s="19" t="s">
        <v>95</v>
      </c>
      <c r="D57" s="19" t="s">
        <v>417</v>
      </c>
      <c r="E57" s="19" t="s">
        <v>328</v>
      </c>
      <c r="F57" s="19" t="s">
        <v>109</v>
      </c>
      <c r="G57" s="19" t="s">
        <v>179</v>
      </c>
      <c r="H57" s="52" t="s">
        <v>98</v>
      </c>
      <c r="I57" s="19" t="s">
        <v>95</v>
      </c>
      <c r="J57" s="19" t="s">
        <v>109</v>
      </c>
      <c r="K57" s="26" t="str">
        <f>HYPERLINK("https://maxxton.atlassian.net/browse/QA-29012","QA-29012")</f>
        <v>QA-29012</v>
      </c>
      <c r="L57" s="19" t="s">
        <v>422</v>
      </c>
    </row>
    <row r="58">
      <c r="A58" s="25" t="str">
        <f>HYPERLINK("https://maxxton.atlassian.net/browse/QA-21824","QA-21824")</f>
        <v>QA-21824</v>
      </c>
      <c r="B58" s="19" t="s">
        <v>434</v>
      </c>
      <c r="C58" s="19" t="s">
        <v>95</v>
      </c>
      <c r="D58" s="19" t="s">
        <v>327</v>
      </c>
      <c r="E58" s="19" t="s">
        <v>328</v>
      </c>
      <c r="F58" s="19" t="s">
        <v>109</v>
      </c>
      <c r="G58" s="19" t="s">
        <v>225</v>
      </c>
      <c r="H58" s="52" t="s">
        <v>98</v>
      </c>
      <c r="I58" s="19" t="s">
        <v>95</v>
      </c>
      <c r="J58" s="19" t="s">
        <v>337</v>
      </c>
      <c r="K58" s="26" t="str">
        <f>HYPERLINK("https://maxxton.atlassian.net/browse/QA-29013","QA-29013")</f>
        <v>QA-29013</v>
      </c>
      <c r="L58" s="19" t="s">
        <v>422</v>
      </c>
    </row>
    <row r="59">
      <c r="A59" s="25" t="str">
        <f>HYPERLINK("https://maxxton.atlassian.net/browse/QA-21825","QA-21825")</f>
        <v>QA-21825</v>
      </c>
      <c r="B59" s="19" t="s">
        <v>435</v>
      </c>
      <c r="C59" s="19" t="s">
        <v>95</v>
      </c>
      <c r="D59" s="19" t="s">
        <v>417</v>
      </c>
      <c r="E59" s="19" t="s">
        <v>328</v>
      </c>
      <c r="F59" s="19" t="s">
        <v>109</v>
      </c>
      <c r="G59" s="19" t="s">
        <v>179</v>
      </c>
      <c r="H59" s="52" t="s">
        <v>98</v>
      </c>
      <c r="I59" s="21" t="s">
        <v>95</v>
      </c>
      <c r="J59" s="53" t="s">
        <v>329</v>
      </c>
      <c r="K59" s="26" t="str">
        <f>HYPERLINK("https://maxxton.atlassian.net/browse/QA-29014","QA-29014")</f>
        <v>QA-29014</v>
      </c>
      <c r="L59" s="19" t="s">
        <v>422</v>
      </c>
    </row>
    <row r="60">
      <c r="A60" s="25" t="str">
        <f>HYPERLINK("https://maxxton.atlassian.net/browse/QA-21826","QA-21826")</f>
        <v>QA-21826</v>
      </c>
      <c r="B60" s="19" t="s">
        <v>436</v>
      </c>
      <c r="C60" s="19" t="s">
        <v>95</v>
      </c>
      <c r="D60" s="19" t="s">
        <v>417</v>
      </c>
      <c r="E60" s="19" t="s">
        <v>328</v>
      </c>
      <c r="F60" s="19" t="s">
        <v>109</v>
      </c>
      <c r="G60" s="19" t="s">
        <v>225</v>
      </c>
      <c r="H60" s="52" t="s">
        <v>98</v>
      </c>
      <c r="I60" s="21" t="s">
        <v>95</v>
      </c>
      <c r="J60" s="21" t="s">
        <v>109</v>
      </c>
      <c r="K60" s="26" t="str">
        <f>HYPERLINK("https://maxxton.atlassian.net/browse/QA-29015","QA-29015")</f>
        <v>QA-29015</v>
      </c>
      <c r="L60" s="19" t="s">
        <v>422</v>
      </c>
    </row>
    <row r="61">
      <c r="A61" s="25" t="str">
        <f>HYPERLINK("https://maxxton.atlassian.net/browse/QA-22502","QA-22502")</f>
        <v>QA-22502</v>
      </c>
      <c r="B61" s="19" t="s">
        <v>437</v>
      </c>
      <c r="C61" s="19" t="s">
        <v>95</v>
      </c>
      <c r="D61" s="19" t="s">
        <v>327</v>
      </c>
      <c r="E61" s="19" t="s">
        <v>328</v>
      </c>
      <c r="F61" s="19" t="s">
        <v>109</v>
      </c>
      <c r="G61" s="19" t="s">
        <v>225</v>
      </c>
      <c r="H61" s="52" t="s">
        <v>98</v>
      </c>
      <c r="I61" s="19" t="s">
        <v>95</v>
      </c>
      <c r="J61" s="19" t="s">
        <v>337</v>
      </c>
      <c r="K61" s="26" t="str">
        <f>HYPERLINK("https://maxxton.atlassian.net/browse/QA-29016","QA-29016")</f>
        <v>QA-29016</v>
      </c>
      <c r="L61" s="19" t="s">
        <v>422</v>
      </c>
    </row>
    <row r="62">
      <c r="A62" s="25" t="str">
        <f>HYPERLINK("https://maxxton.atlassian.net/browse/QA-23007","QA-23007")</f>
        <v>QA-23007</v>
      </c>
      <c r="B62" s="19" t="s">
        <v>438</v>
      </c>
      <c r="C62" s="19" t="s">
        <v>95</v>
      </c>
      <c r="D62" s="19" t="s">
        <v>327</v>
      </c>
      <c r="E62" s="19" t="s">
        <v>328</v>
      </c>
      <c r="F62" s="19" t="s">
        <v>109</v>
      </c>
      <c r="G62" s="19" t="s">
        <v>179</v>
      </c>
      <c r="H62" s="52" t="s">
        <v>98</v>
      </c>
      <c r="I62" s="19" t="s">
        <v>95</v>
      </c>
      <c r="J62" s="21" t="s">
        <v>109</v>
      </c>
      <c r="K62" s="26" t="str">
        <f>HYPERLINK("https://maxxton.atlassian.net/browse/QA-29017","QA-29017")</f>
        <v>QA-29017</v>
      </c>
      <c r="L62" s="19" t="s">
        <v>422</v>
      </c>
    </row>
    <row r="63">
      <c r="A63" s="25" t="str">
        <f>HYPERLINK("https://maxxton.atlassian.net/browse/QA-23008","QA-23008")</f>
        <v>QA-23008</v>
      </c>
      <c r="B63" s="19" t="s">
        <v>439</v>
      </c>
      <c r="C63" s="19" t="s">
        <v>95</v>
      </c>
      <c r="D63" s="19" t="s">
        <v>327</v>
      </c>
      <c r="E63" s="19" t="s">
        <v>328</v>
      </c>
      <c r="F63" s="19" t="s">
        <v>109</v>
      </c>
      <c r="G63" s="19" t="s">
        <v>179</v>
      </c>
      <c r="H63" s="52" t="s">
        <v>98</v>
      </c>
      <c r="I63" s="19" t="s">
        <v>95</v>
      </c>
      <c r="J63" s="19" t="s">
        <v>329</v>
      </c>
      <c r="K63" s="26" t="str">
        <f>HYPERLINK("https://maxxton.atlassian.net/browse/QA-29018","QA-29018")</f>
        <v>QA-29018</v>
      </c>
      <c r="L63" s="19" t="s">
        <v>422</v>
      </c>
    </row>
    <row r="64">
      <c r="A64" s="25" t="str">
        <f>HYPERLINK("https://maxxton.atlassian.net/browse/QA-23010","QA-23010")</f>
        <v>QA-23010</v>
      </c>
      <c r="B64" s="19" t="s">
        <v>440</v>
      </c>
      <c r="C64" s="19" t="s">
        <v>95</v>
      </c>
      <c r="D64" s="19" t="s">
        <v>327</v>
      </c>
      <c r="E64" s="19" t="s">
        <v>328</v>
      </c>
      <c r="F64" s="19" t="s">
        <v>109</v>
      </c>
      <c r="G64" s="19" t="s">
        <v>179</v>
      </c>
      <c r="H64" s="52" t="s">
        <v>98</v>
      </c>
      <c r="I64" s="8" t="s">
        <v>95</v>
      </c>
      <c r="J64" s="21" t="s">
        <v>109</v>
      </c>
      <c r="K64" s="26" t="str">
        <f>HYPERLINK("https://maxxton.atlassian.net/browse/QA-29019","QA-29019")</f>
        <v>QA-29019</v>
      </c>
      <c r="L64" s="19" t="s">
        <v>422</v>
      </c>
    </row>
    <row r="65">
      <c r="A65" s="25" t="str">
        <f>HYPERLINK("https://maxxton.atlassian.net/browse/QA-23029","QA-23029")</f>
        <v>QA-23029</v>
      </c>
      <c r="B65" s="19" t="s">
        <v>441</v>
      </c>
      <c r="C65" s="19" t="s">
        <v>95</v>
      </c>
      <c r="D65" s="19" t="s">
        <v>327</v>
      </c>
      <c r="E65" s="19" t="s">
        <v>328</v>
      </c>
      <c r="F65" s="19" t="s">
        <v>109</v>
      </c>
      <c r="G65" s="19" t="s">
        <v>225</v>
      </c>
      <c r="H65" s="52" t="s">
        <v>98</v>
      </c>
      <c r="I65" s="8" t="s">
        <v>95</v>
      </c>
      <c r="J65" s="19" t="s">
        <v>329</v>
      </c>
      <c r="K65" s="26" t="str">
        <f>HYPERLINK("https://maxxton.atlassian.net/browse/QA-29020","QA-29020")</f>
        <v>QA-29020</v>
      </c>
      <c r="L65" s="19" t="s">
        <v>422</v>
      </c>
    </row>
    <row r="66">
      <c r="A66" s="25" t="str">
        <f>HYPERLINK("https://maxxton.atlassian.net/browse/QA-24221","QA-24221")</f>
        <v>QA-24221</v>
      </c>
      <c r="B66" s="19" t="s">
        <v>442</v>
      </c>
      <c r="C66" s="19" t="s">
        <v>95</v>
      </c>
      <c r="D66" s="19" t="s">
        <v>327</v>
      </c>
      <c r="E66" s="19" t="s">
        <v>328</v>
      </c>
      <c r="F66" s="8" t="s">
        <v>329</v>
      </c>
      <c r="G66" s="19" t="s">
        <v>199</v>
      </c>
      <c r="H66" s="52" t="s">
        <v>98</v>
      </c>
      <c r="I66" s="8" t="s">
        <v>95</v>
      </c>
      <c r="J66" s="8" t="s">
        <v>337</v>
      </c>
      <c r="K66" s="26" t="str">
        <f>HYPERLINK("https://maxxton.atlassian.net/browse/QA-29021","QA-29021")</f>
        <v>QA-29021</v>
      </c>
      <c r="L66" s="19" t="s">
        <v>422</v>
      </c>
    </row>
    <row r="67">
      <c r="A67" s="25" t="str">
        <f>HYPERLINK("https://maxxton.atlassian.net/browse/QA-24225","QA-24225")</f>
        <v>QA-24225</v>
      </c>
      <c r="B67" s="19" t="s">
        <v>443</v>
      </c>
      <c r="C67" s="19" t="s">
        <v>95</v>
      </c>
      <c r="D67" s="19" t="s">
        <v>417</v>
      </c>
      <c r="E67" s="19" t="s">
        <v>328</v>
      </c>
      <c r="F67" s="8" t="s">
        <v>337</v>
      </c>
      <c r="G67" s="19" t="s">
        <v>179</v>
      </c>
      <c r="H67" s="52" t="s">
        <v>98</v>
      </c>
      <c r="I67" s="8" t="s">
        <v>95</v>
      </c>
      <c r="J67" s="8" t="s">
        <v>337</v>
      </c>
      <c r="K67" s="26" t="str">
        <f>HYPERLINK("https://maxxton.atlassian.net/browse/QA-29022","QA-29022")</f>
        <v>QA-29022</v>
      </c>
      <c r="L67" s="19" t="s">
        <v>422</v>
      </c>
    </row>
    <row r="68">
      <c r="A68" s="54" t="str">
        <f>HYPERLINK("https://maxxton.atlassian.net/browse/QA-25426","QA-25426")</f>
        <v>QA-25426</v>
      </c>
      <c r="B68" s="8" t="s">
        <v>444</v>
      </c>
      <c r="C68" s="8" t="s">
        <v>95</v>
      </c>
      <c r="D68" s="19" t="s">
        <v>417</v>
      </c>
      <c r="E68" s="19" t="s">
        <v>328</v>
      </c>
      <c r="F68" s="8" t="s">
        <v>329</v>
      </c>
      <c r="G68" s="8" t="s">
        <v>225</v>
      </c>
      <c r="H68" s="52" t="s">
        <v>98</v>
      </c>
      <c r="I68" s="8" t="s">
        <v>95</v>
      </c>
      <c r="J68" s="8" t="s">
        <v>337</v>
      </c>
      <c r="K68" s="40" t="str">
        <f>HYPERLINK("https://maxxton.atlassian.net/browse/QA-29023","QA-29023")</f>
        <v>QA-29023</v>
      </c>
      <c r="L68" s="8" t="s">
        <v>422</v>
      </c>
    </row>
    <row r="69">
      <c r="A69" s="54" t="str">
        <f>HYPERLINK("https://maxxton.atlassian.net/browse/QA-25905","QA-25905")</f>
        <v>QA-25905</v>
      </c>
      <c r="B69" s="8" t="s">
        <v>445</v>
      </c>
      <c r="C69" s="8" t="s">
        <v>95</v>
      </c>
      <c r="D69" s="19" t="s">
        <v>417</v>
      </c>
      <c r="E69" s="19" t="s">
        <v>328</v>
      </c>
      <c r="F69" s="8" t="s">
        <v>109</v>
      </c>
      <c r="G69" s="8" t="s">
        <v>199</v>
      </c>
      <c r="H69" s="52" t="s">
        <v>98</v>
      </c>
      <c r="I69" s="8" t="s">
        <v>95</v>
      </c>
      <c r="J69" s="8" t="s">
        <v>109</v>
      </c>
      <c r="K69" s="40" t="str">
        <f>HYPERLINK("https://maxxton.atlassian.net/browse/QA-29024","QA-29024")</f>
        <v>QA-29024</v>
      </c>
      <c r="L69" s="8" t="s">
        <v>422</v>
      </c>
    </row>
    <row r="70">
      <c r="A70" s="54" t="str">
        <f>HYPERLINK("https://maxxton.atlassian.net/browse/QA-25906","QA-25906")</f>
        <v>QA-25906</v>
      </c>
      <c r="B70" s="8" t="s">
        <v>446</v>
      </c>
      <c r="C70" s="8" t="s">
        <v>95</v>
      </c>
      <c r="D70" s="19" t="s">
        <v>417</v>
      </c>
      <c r="E70" s="19" t="s">
        <v>328</v>
      </c>
      <c r="F70" s="8" t="s">
        <v>109</v>
      </c>
      <c r="G70" s="8" t="s">
        <v>199</v>
      </c>
      <c r="H70" s="52" t="s">
        <v>98</v>
      </c>
      <c r="I70" s="8" t="s">
        <v>95</v>
      </c>
      <c r="J70" s="8" t="s">
        <v>109</v>
      </c>
      <c r="K70" s="40" t="str">
        <f>HYPERLINK("https://maxxton.atlassian.net/browse/QA-29025","QA-29025")</f>
        <v>QA-29025</v>
      </c>
      <c r="L70" s="8" t="s">
        <v>422</v>
      </c>
    </row>
    <row r="71">
      <c r="A71" s="54" t="str">
        <f>HYPERLINK("https://maxxton.atlassian.net/browse/QA-27369","QA-27369")</f>
        <v>QA-27369</v>
      </c>
      <c r="B71" s="8" t="s">
        <v>447</v>
      </c>
      <c r="C71" s="8" t="s">
        <v>95</v>
      </c>
      <c r="D71" s="19" t="s">
        <v>417</v>
      </c>
      <c r="E71" s="19" t="s">
        <v>328</v>
      </c>
      <c r="F71" s="8" t="s">
        <v>329</v>
      </c>
      <c r="G71" s="8" t="s">
        <v>199</v>
      </c>
      <c r="H71" s="52" t="s">
        <v>98</v>
      </c>
      <c r="I71" s="8" t="s">
        <v>95</v>
      </c>
      <c r="J71" s="8" t="s">
        <v>329</v>
      </c>
      <c r="K71" s="40" t="str">
        <f>HYPERLINK("https://maxxton.atlassian.net/browse/QA-29026","QA-29026")</f>
        <v>QA-29026</v>
      </c>
      <c r="L71" s="8" t="s">
        <v>422</v>
      </c>
    </row>
    <row r="72">
      <c r="A72" s="54" t="str">
        <f>HYPERLINK("https://maxxton.atlassian.net/browse/QA-27370","QA-27370")</f>
        <v>QA-27370</v>
      </c>
      <c r="B72" s="8" t="s">
        <v>448</v>
      </c>
      <c r="C72" s="8" t="s">
        <v>95</v>
      </c>
      <c r="D72" s="19" t="s">
        <v>327</v>
      </c>
      <c r="E72" s="19" t="s">
        <v>328</v>
      </c>
      <c r="F72" s="8" t="s">
        <v>329</v>
      </c>
      <c r="G72" s="8" t="s">
        <v>225</v>
      </c>
      <c r="H72" s="52" t="s">
        <v>98</v>
      </c>
      <c r="I72" s="8" t="s">
        <v>95</v>
      </c>
      <c r="J72" s="8" t="s">
        <v>329</v>
      </c>
      <c r="K72" s="40" t="str">
        <f>HYPERLINK("https://maxxton.atlassian.net/browse/QA-29027","QA-29027")</f>
        <v>QA-29027</v>
      </c>
      <c r="L72" s="8" t="s">
        <v>422</v>
      </c>
    </row>
    <row r="73">
      <c r="A73" s="54" t="str">
        <f>HYPERLINK("https://maxxton.atlassian.net/browse/QA-28048","QA-28048")</f>
        <v>QA-28048</v>
      </c>
      <c r="B73" s="8" t="s">
        <v>449</v>
      </c>
      <c r="C73" s="8" t="s">
        <v>95</v>
      </c>
      <c r="D73" s="19" t="s">
        <v>417</v>
      </c>
      <c r="E73" s="19" t="s">
        <v>328</v>
      </c>
      <c r="F73" s="8" t="s">
        <v>109</v>
      </c>
      <c r="G73" s="8" t="s">
        <v>199</v>
      </c>
      <c r="H73" s="52" t="s">
        <v>98</v>
      </c>
      <c r="I73" s="8" t="s">
        <v>95</v>
      </c>
      <c r="J73" s="8" t="s">
        <v>109</v>
      </c>
      <c r="K73" s="40" t="str">
        <f>HYPERLINK("https://maxxton.atlassian.net/browse/QA-29028","QA-29028")</f>
        <v>QA-29028</v>
      </c>
      <c r="L73" s="8" t="s">
        <v>422</v>
      </c>
    </row>
    <row r="74">
      <c r="A74" s="54" t="str">
        <f>HYPERLINK("https://maxxton.atlassian.net/browse/QA-28049","QA-28049")</f>
        <v>QA-28049</v>
      </c>
      <c r="B74" s="8" t="s">
        <v>450</v>
      </c>
      <c r="C74" s="8" t="s">
        <v>95</v>
      </c>
      <c r="D74" s="19" t="s">
        <v>417</v>
      </c>
      <c r="E74" s="19" t="s">
        <v>328</v>
      </c>
      <c r="F74" s="8" t="s">
        <v>109</v>
      </c>
      <c r="G74" s="8" t="s">
        <v>225</v>
      </c>
      <c r="H74" s="52" t="s">
        <v>98</v>
      </c>
      <c r="I74" s="8" t="s">
        <v>95</v>
      </c>
      <c r="J74" s="8" t="s">
        <v>109</v>
      </c>
      <c r="K74" s="40" t="str">
        <f>HYPERLINK("https://maxxton.atlassian.net/browse/QA-29029","QA-29029")</f>
        <v>QA-29029</v>
      </c>
      <c r="L74" s="8" t="s">
        <v>422</v>
      </c>
    </row>
    <row r="75">
      <c r="A75" s="54" t="str">
        <f>HYPERLINK("https://maxxton.atlassian.net/browse/QA-28050","QA-28050")</f>
        <v>QA-28050</v>
      </c>
      <c r="B75" s="8" t="s">
        <v>451</v>
      </c>
      <c r="C75" s="8" t="s">
        <v>95</v>
      </c>
      <c r="D75" s="19" t="s">
        <v>327</v>
      </c>
      <c r="E75" s="19" t="s">
        <v>328</v>
      </c>
      <c r="F75" s="8" t="s">
        <v>109</v>
      </c>
      <c r="G75" s="8" t="s">
        <v>225</v>
      </c>
      <c r="H75" s="52" t="s">
        <v>98</v>
      </c>
      <c r="I75" s="8" t="s">
        <v>95</v>
      </c>
      <c r="J75" s="8" t="s">
        <v>109</v>
      </c>
      <c r="K75" s="40" t="str">
        <f>HYPERLINK("https://maxxton.atlassian.net/browse/QA-29030","QA-29030")</f>
        <v>QA-29030</v>
      </c>
      <c r="L75" s="8" t="s">
        <v>422</v>
      </c>
    </row>
    <row r="76">
      <c r="A76" s="54" t="str">
        <f>HYPERLINK("https://maxxton.atlassian.net/browse/QA-25198","QA-25198")</f>
        <v>QA-25198</v>
      </c>
      <c r="B76" s="8" t="s">
        <v>452</v>
      </c>
      <c r="C76" s="8" t="s">
        <v>135</v>
      </c>
      <c r="D76" s="19" t="s">
        <v>417</v>
      </c>
      <c r="E76" s="19" t="s">
        <v>328</v>
      </c>
      <c r="F76" s="8" t="s">
        <v>329</v>
      </c>
      <c r="G76" s="8" t="s">
        <v>199</v>
      </c>
      <c r="H76" s="52" t="s">
        <v>143</v>
      </c>
      <c r="I76" s="8" t="s">
        <v>135</v>
      </c>
      <c r="J76" s="8" t="s">
        <v>337</v>
      </c>
      <c r="K76" s="40" t="str">
        <f>HYPERLINK("https://maxxton.atlassian.net/browse/QA-29043","QA-29043")</f>
        <v>QA-29043</v>
      </c>
      <c r="L76" s="8" t="s">
        <v>330</v>
      </c>
    </row>
    <row r="77">
      <c r="A77" s="54" t="str">
        <f>HYPERLINK("https://maxxton.atlassian.net/browse/QA-25199","QA-25199")</f>
        <v>QA-25199</v>
      </c>
      <c r="B77" s="8" t="s">
        <v>453</v>
      </c>
      <c r="C77" s="8" t="s">
        <v>135</v>
      </c>
      <c r="D77" s="19" t="s">
        <v>417</v>
      </c>
      <c r="E77" s="19" t="s">
        <v>328</v>
      </c>
      <c r="F77" s="8" t="s">
        <v>329</v>
      </c>
      <c r="G77" s="8" t="s">
        <v>199</v>
      </c>
      <c r="H77" s="52" t="s">
        <v>143</v>
      </c>
      <c r="I77" s="8" t="s">
        <v>135</v>
      </c>
      <c r="J77" s="8" t="s">
        <v>329</v>
      </c>
      <c r="K77" s="40" t="str">
        <f>HYPERLINK("https://maxxton.atlassian.net/browse/QA-29044","QA-29044")</f>
        <v>QA-29044</v>
      </c>
      <c r="L77" s="8" t="s">
        <v>330</v>
      </c>
    </row>
    <row r="78">
      <c r="A78" s="54" t="str">
        <f>HYPERLINK("https://maxxton.atlassian.net/browse/QA-25200","QA-25200")</f>
        <v>QA-25200</v>
      </c>
      <c r="B78" s="8" t="s">
        <v>454</v>
      </c>
      <c r="C78" s="8" t="s">
        <v>135</v>
      </c>
      <c r="D78" s="19" t="s">
        <v>417</v>
      </c>
      <c r="E78" s="19" t="s">
        <v>328</v>
      </c>
      <c r="F78" s="8" t="s">
        <v>329</v>
      </c>
      <c r="G78" s="8" t="s">
        <v>199</v>
      </c>
      <c r="H78" s="52" t="s">
        <v>143</v>
      </c>
      <c r="I78" s="8" t="s">
        <v>135</v>
      </c>
      <c r="J78" s="8" t="s">
        <v>329</v>
      </c>
      <c r="K78" s="40" t="str">
        <f>HYPERLINK("https://maxxton.atlassian.net/browse/QA-29045","QA-29045")</f>
        <v>QA-29045</v>
      </c>
      <c r="L78" s="8" t="s">
        <v>330</v>
      </c>
    </row>
    <row r="79">
      <c r="A79" s="54" t="str">
        <f>HYPERLINK("https://maxxton.atlassian.net/browse/QA-25201","QA-25201")</f>
        <v>QA-25201</v>
      </c>
      <c r="B79" s="8" t="s">
        <v>455</v>
      </c>
      <c r="C79" s="8" t="s">
        <v>135</v>
      </c>
      <c r="D79" s="19" t="s">
        <v>417</v>
      </c>
      <c r="E79" s="19" t="s">
        <v>328</v>
      </c>
      <c r="F79" s="8" t="s">
        <v>329</v>
      </c>
      <c r="G79" s="8" t="s">
        <v>199</v>
      </c>
      <c r="H79" s="52" t="s">
        <v>143</v>
      </c>
      <c r="I79" s="8" t="s">
        <v>135</v>
      </c>
      <c r="J79" s="8" t="s">
        <v>329</v>
      </c>
      <c r="K79" s="40" t="str">
        <f>HYPERLINK("https://maxxton.atlassian.net/browse/QA-29046","QA-29046")</f>
        <v>QA-29046</v>
      </c>
      <c r="L79" s="8" t="s">
        <v>330</v>
      </c>
    </row>
    <row r="80">
      <c r="A80" s="54" t="str">
        <f>HYPERLINK("https://maxxton.atlassian.net/browse/QA-25202","QA-25202")</f>
        <v>QA-25202</v>
      </c>
      <c r="B80" s="8" t="s">
        <v>456</v>
      </c>
      <c r="C80" s="8" t="s">
        <v>135</v>
      </c>
      <c r="D80" s="19" t="s">
        <v>327</v>
      </c>
      <c r="E80" s="19" t="s">
        <v>328</v>
      </c>
      <c r="F80" s="8" t="s">
        <v>109</v>
      </c>
      <c r="G80" s="8" t="s">
        <v>199</v>
      </c>
      <c r="H80" s="52" t="s">
        <v>143</v>
      </c>
      <c r="I80" s="8" t="s">
        <v>135</v>
      </c>
      <c r="J80" s="8" t="s">
        <v>109</v>
      </c>
      <c r="K80" s="40" t="str">
        <f>HYPERLINK("https://maxxton.atlassian.net/browse/QA-29047","QA-29047")</f>
        <v>QA-29047</v>
      </c>
      <c r="L80" s="8" t="s">
        <v>330</v>
      </c>
    </row>
    <row r="81">
      <c r="A81" s="54" t="str">
        <f>HYPERLINK("https://maxxton.atlassian.net/browse/QA-25203","QA-25203")</f>
        <v>QA-25203</v>
      </c>
      <c r="B81" s="19" t="s">
        <v>457</v>
      </c>
      <c r="C81" s="8" t="s">
        <v>135</v>
      </c>
      <c r="D81" s="19" t="s">
        <v>417</v>
      </c>
      <c r="E81" s="19" t="s">
        <v>328</v>
      </c>
      <c r="F81" s="8" t="s">
        <v>109</v>
      </c>
      <c r="G81" s="8" t="s">
        <v>199</v>
      </c>
      <c r="H81" s="52" t="s">
        <v>143</v>
      </c>
      <c r="I81" s="8" t="s">
        <v>135</v>
      </c>
      <c r="J81" s="8" t="s">
        <v>109</v>
      </c>
      <c r="K81" s="40" t="str">
        <f>HYPERLINK("https://maxxton.atlassian.net/browse/QA-29048","QA-29048")</f>
        <v>QA-29048</v>
      </c>
      <c r="L81" s="8" t="s">
        <v>330</v>
      </c>
    </row>
    <row r="82">
      <c r="A82" s="54" t="str">
        <f>HYPERLINK("https://maxxton.atlassian.net/browse/QA-25204","QA-25204")</f>
        <v>QA-25204</v>
      </c>
      <c r="B82" s="19" t="s">
        <v>458</v>
      </c>
      <c r="C82" s="8" t="s">
        <v>135</v>
      </c>
      <c r="D82" s="19" t="s">
        <v>417</v>
      </c>
      <c r="E82" s="19" t="s">
        <v>328</v>
      </c>
      <c r="F82" s="8" t="s">
        <v>109</v>
      </c>
      <c r="G82" s="8" t="s">
        <v>199</v>
      </c>
      <c r="H82" s="52" t="s">
        <v>143</v>
      </c>
      <c r="I82" s="8" t="s">
        <v>135</v>
      </c>
      <c r="J82" s="8" t="s">
        <v>109</v>
      </c>
      <c r="K82" s="40" t="str">
        <f>HYPERLINK("https://maxxton.atlassian.net/browse/QA-29049","QA-29049")</f>
        <v>QA-29049</v>
      </c>
      <c r="L82" s="8" t="s">
        <v>330</v>
      </c>
    </row>
    <row r="83">
      <c r="A83" s="54" t="str">
        <f>HYPERLINK("https://maxxton.atlassian.net/browse/QA-25205","QA-25205")</f>
        <v>QA-25205</v>
      </c>
      <c r="B83" s="19" t="s">
        <v>459</v>
      </c>
      <c r="C83" s="8" t="s">
        <v>135</v>
      </c>
      <c r="D83" s="19" t="s">
        <v>417</v>
      </c>
      <c r="E83" s="19" t="s">
        <v>328</v>
      </c>
      <c r="F83" s="8" t="s">
        <v>109</v>
      </c>
      <c r="G83" s="8" t="s">
        <v>199</v>
      </c>
      <c r="H83" s="52" t="s">
        <v>143</v>
      </c>
      <c r="I83" s="8" t="s">
        <v>135</v>
      </c>
      <c r="J83" s="8" t="s">
        <v>329</v>
      </c>
      <c r="K83" s="40" t="str">
        <f>HYPERLINK("https://maxxton.atlassian.net/browse/QA-29050","QA-29050")</f>
        <v>QA-29050</v>
      </c>
      <c r="L83" s="8" t="s">
        <v>330</v>
      </c>
    </row>
    <row r="84">
      <c r="A84" s="54" t="str">
        <f>HYPERLINK("https://maxxton.atlassian.net/browse/QA-25206","QA-25206")</f>
        <v>QA-25206</v>
      </c>
      <c r="B84" s="19" t="s">
        <v>460</v>
      </c>
      <c r="C84" s="8" t="s">
        <v>135</v>
      </c>
      <c r="D84" s="19" t="s">
        <v>417</v>
      </c>
      <c r="E84" s="19" t="s">
        <v>328</v>
      </c>
      <c r="F84" s="8" t="s">
        <v>109</v>
      </c>
      <c r="G84" s="8" t="s">
        <v>225</v>
      </c>
      <c r="H84" s="52" t="s">
        <v>143</v>
      </c>
      <c r="I84" s="8" t="s">
        <v>135</v>
      </c>
      <c r="J84" s="8" t="s">
        <v>337</v>
      </c>
      <c r="K84" s="40" t="str">
        <f>HYPERLINK("https://maxxton.atlassian.net/browse/QA-29051","QA-29051")</f>
        <v>QA-29051</v>
      </c>
      <c r="L84" s="8" t="s">
        <v>330</v>
      </c>
    </row>
    <row r="85">
      <c r="A85" s="54" t="str">
        <f>HYPERLINK("https://maxxton.atlassian.net/browse/QA-25207","QA-25207")</f>
        <v>QA-25207</v>
      </c>
      <c r="B85" s="19" t="s">
        <v>461</v>
      </c>
      <c r="C85" s="8" t="s">
        <v>135</v>
      </c>
      <c r="D85" s="19" t="s">
        <v>417</v>
      </c>
      <c r="E85" s="19" t="s">
        <v>462</v>
      </c>
      <c r="F85" s="8" t="s">
        <v>109</v>
      </c>
      <c r="G85" s="8" t="s">
        <v>199</v>
      </c>
      <c r="H85" s="52" t="s">
        <v>143</v>
      </c>
      <c r="I85" s="8" t="s">
        <v>135</v>
      </c>
      <c r="J85" s="8" t="s">
        <v>109</v>
      </c>
      <c r="K85" s="40" t="str">
        <f>HYPERLINK("https://maxxton.atlassian.net/browse/QA-29052","QA-29052")</f>
        <v>QA-29052</v>
      </c>
      <c r="L85" s="8" t="s">
        <v>330</v>
      </c>
    </row>
    <row r="86">
      <c r="A86" s="54" t="str">
        <f>HYPERLINK("https://maxxton.atlassian.net/browse/QA-25208","QA-25208")</f>
        <v>QA-25208</v>
      </c>
      <c r="B86" s="8" t="s">
        <v>463</v>
      </c>
      <c r="C86" s="8" t="s">
        <v>135</v>
      </c>
      <c r="D86" s="19" t="s">
        <v>417</v>
      </c>
      <c r="E86" s="19" t="s">
        <v>328</v>
      </c>
      <c r="F86" s="8" t="s">
        <v>109</v>
      </c>
      <c r="G86" s="8" t="s">
        <v>199</v>
      </c>
      <c r="H86" s="52" t="s">
        <v>143</v>
      </c>
      <c r="I86" s="8" t="s">
        <v>135</v>
      </c>
      <c r="J86" s="8" t="s">
        <v>337</v>
      </c>
      <c r="K86" s="40" t="str">
        <f>HYPERLINK("https://maxxton.atlassian.net/browse/QA-29053","QA-29053")</f>
        <v>QA-29053</v>
      </c>
      <c r="L86" s="8" t="s">
        <v>330</v>
      </c>
    </row>
    <row r="87">
      <c r="A87" s="54" t="str">
        <f>HYPERLINK("https://maxxton.atlassian.net/browse/QA-25907","QA-25907")</f>
        <v>QA-25907</v>
      </c>
      <c r="B87" s="8" t="s">
        <v>464</v>
      </c>
      <c r="C87" s="8" t="s">
        <v>95</v>
      </c>
      <c r="D87" s="19" t="s">
        <v>417</v>
      </c>
      <c r="E87" s="19" t="s">
        <v>328</v>
      </c>
      <c r="F87" s="8" t="s">
        <v>109</v>
      </c>
      <c r="G87" s="8" t="s">
        <v>199</v>
      </c>
      <c r="H87" s="52" t="s">
        <v>143</v>
      </c>
      <c r="I87" s="8" t="s">
        <v>95</v>
      </c>
      <c r="J87" s="8" t="s">
        <v>337</v>
      </c>
      <c r="K87" s="40" t="str">
        <f>HYPERLINK("https://maxxton.atlassian.net/browse/QA-29054","QA-29054")</f>
        <v>QA-29054</v>
      </c>
      <c r="L87" s="8" t="s">
        <v>330</v>
      </c>
    </row>
    <row r="88">
      <c r="A88" s="54" t="str">
        <f>HYPERLINK("https://maxxton.atlassian.net/browse/QA-25908","QA-25908")</f>
        <v>QA-25908</v>
      </c>
      <c r="B88" s="8" t="s">
        <v>465</v>
      </c>
      <c r="C88" s="8" t="s">
        <v>95</v>
      </c>
      <c r="D88" s="19" t="s">
        <v>417</v>
      </c>
      <c r="E88" s="19" t="s">
        <v>328</v>
      </c>
      <c r="F88" s="8" t="s">
        <v>109</v>
      </c>
      <c r="G88" s="8" t="s">
        <v>199</v>
      </c>
      <c r="H88" s="52" t="s">
        <v>143</v>
      </c>
      <c r="I88" s="8" t="s">
        <v>95</v>
      </c>
      <c r="J88" s="8" t="s">
        <v>337</v>
      </c>
      <c r="K88" s="40" t="str">
        <f>HYPERLINK("https://maxxton.atlassian.net/browse/QA-29055","QA-29055")</f>
        <v>QA-29055</v>
      </c>
      <c r="L88" s="8" t="s">
        <v>330</v>
      </c>
    </row>
    <row r="89">
      <c r="A89" s="54" t="str">
        <f>HYPERLINK("https://maxxton.atlassian.net/browse/QA-27374","QA-27374")</f>
        <v>QA-27374</v>
      </c>
      <c r="B89" s="8" t="s">
        <v>466</v>
      </c>
      <c r="C89" s="8" t="s">
        <v>135</v>
      </c>
      <c r="D89" s="19" t="s">
        <v>417</v>
      </c>
      <c r="E89" s="19" t="s">
        <v>328</v>
      </c>
      <c r="F89" s="8" t="s">
        <v>329</v>
      </c>
      <c r="G89" s="8" t="s">
        <v>199</v>
      </c>
      <c r="H89" s="52" t="s">
        <v>143</v>
      </c>
      <c r="I89" s="8" t="s">
        <v>135</v>
      </c>
      <c r="J89" s="8" t="s">
        <v>329</v>
      </c>
      <c r="K89" s="40" t="str">
        <f>HYPERLINK("https://maxxton.atlassian.net/browse/QA-29056","QA-29056")</f>
        <v>QA-29056</v>
      </c>
      <c r="L89" s="8" t="s">
        <v>330</v>
      </c>
    </row>
    <row r="90">
      <c r="A90" s="54" t="str">
        <f>HYPERLINK("https://maxxton.atlassian.net/browse/QA-27375","QA-27375")</f>
        <v>QA-27375</v>
      </c>
      <c r="B90" s="8" t="s">
        <v>467</v>
      </c>
      <c r="C90" s="8" t="s">
        <v>135</v>
      </c>
      <c r="D90" s="19" t="s">
        <v>327</v>
      </c>
      <c r="E90" s="19" t="s">
        <v>328</v>
      </c>
      <c r="F90" s="8" t="s">
        <v>329</v>
      </c>
      <c r="G90" s="8" t="s">
        <v>225</v>
      </c>
      <c r="H90" s="52" t="s">
        <v>143</v>
      </c>
      <c r="I90" s="8" t="s">
        <v>135</v>
      </c>
      <c r="J90" s="8" t="s">
        <v>329</v>
      </c>
      <c r="K90" s="40" t="str">
        <f>HYPERLINK("https://maxxton.atlassian.net/browse/QA-29057","QA-29057")</f>
        <v>QA-29057</v>
      </c>
      <c r="L90" s="8" t="s">
        <v>330</v>
      </c>
    </row>
    <row r="91">
      <c r="A91" s="54" t="str">
        <f>HYPERLINK("https://maxxton.atlassian.net/browse/QA-28800","QA-28800")</f>
        <v>QA-28800</v>
      </c>
      <c r="B91" s="8" t="s">
        <v>468</v>
      </c>
      <c r="C91" s="8" t="s">
        <v>135</v>
      </c>
      <c r="D91" s="19" t="s">
        <v>417</v>
      </c>
      <c r="E91" s="19" t="s">
        <v>328</v>
      </c>
      <c r="F91" s="8" t="s">
        <v>329</v>
      </c>
      <c r="G91" s="8" t="s">
        <v>199</v>
      </c>
      <c r="H91" s="52" t="s">
        <v>143</v>
      </c>
      <c r="I91" s="8" t="s">
        <v>135</v>
      </c>
      <c r="J91" s="8" t="s">
        <v>329</v>
      </c>
      <c r="K91" s="40" t="str">
        <f>HYPERLINK("https://maxxton.atlassian.net/browse/QA-29058","QA-29058")</f>
        <v>QA-29058</v>
      </c>
      <c r="L91" s="8" t="s">
        <v>330</v>
      </c>
    </row>
    <row r="92">
      <c r="A92" s="54" t="str">
        <f>HYPERLINK("https://maxxton.atlassian.net/browse/QA-28801","QA-28801")</f>
        <v>QA-28801</v>
      </c>
      <c r="B92" s="8" t="s">
        <v>469</v>
      </c>
      <c r="C92" s="8" t="s">
        <v>135</v>
      </c>
      <c r="D92" s="19" t="s">
        <v>417</v>
      </c>
      <c r="E92" s="19" t="s">
        <v>328</v>
      </c>
      <c r="F92" s="8" t="s">
        <v>329</v>
      </c>
      <c r="G92" s="8" t="s">
        <v>199</v>
      </c>
      <c r="H92" s="52" t="s">
        <v>143</v>
      </c>
      <c r="I92" s="8" t="s">
        <v>135</v>
      </c>
      <c r="J92" s="8" t="s">
        <v>329</v>
      </c>
      <c r="K92" s="40" t="str">
        <f>HYPERLINK("https://maxxton.atlassian.net/browse/QA-29059","QA-29059")</f>
        <v>QA-29059</v>
      </c>
      <c r="L92" s="8" t="s">
        <v>330</v>
      </c>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row r="988">
      <c r="C988" s="24"/>
      <c r="F988" s="24"/>
      <c r="H988" s="24"/>
      <c r="I988" s="24"/>
      <c r="J988" s="24"/>
    </row>
    <row r="989">
      <c r="C989" s="24"/>
      <c r="F989" s="24"/>
      <c r="H989" s="24"/>
      <c r="I989" s="24"/>
      <c r="J989" s="24"/>
    </row>
    <row r="990">
      <c r="C990" s="24"/>
      <c r="F990" s="24"/>
      <c r="H990" s="24"/>
      <c r="I990" s="24"/>
      <c r="J990" s="24"/>
    </row>
    <row r="991">
      <c r="C991" s="24"/>
      <c r="F991" s="24"/>
      <c r="H991" s="24"/>
      <c r="I991" s="24"/>
      <c r="J991" s="24"/>
    </row>
    <row r="992">
      <c r="C992" s="24"/>
      <c r="F992" s="24"/>
      <c r="H992" s="24"/>
      <c r="I992" s="24"/>
      <c r="J992" s="24"/>
    </row>
    <row r="993">
      <c r="C993" s="24"/>
      <c r="F993" s="24"/>
      <c r="H993" s="24"/>
      <c r="I993" s="24"/>
      <c r="J993" s="24"/>
    </row>
    <row r="994">
      <c r="C994" s="24"/>
      <c r="F994" s="24"/>
      <c r="H994" s="24"/>
      <c r="I994" s="24"/>
      <c r="J994" s="24"/>
    </row>
    <row r="995">
      <c r="C995" s="24"/>
      <c r="F995" s="24"/>
      <c r="H995" s="24"/>
      <c r="I995" s="24"/>
      <c r="J995" s="24"/>
    </row>
    <row r="996">
      <c r="C996" s="24"/>
      <c r="F996" s="24"/>
      <c r="H996" s="24"/>
      <c r="I996" s="24"/>
      <c r="J996" s="24"/>
    </row>
    <row r="997">
      <c r="C997" s="24"/>
      <c r="F997" s="24"/>
      <c r="H997" s="24"/>
      <c r="I997" s="24"/>
      <c r="J997" s="24"/>
    </row>
    <row r="998">
      <c r="C998" s="24"/>
      <c r="F998" s="24"/>
      <c r="H998" s="24"/>
      <c r="I998" s="24"/>
      <c r="J998" s="24"/>
    </row>
    <row r="999">
      <c r="C999" s="24"/>
      <c r="F999" s="24"/>
      <c r="H999" s="24"/>
      <c r="I999" s="24"/>
      <c r="J999" s="24"/>
    </row>
    <row r="1000">
      <c r="C1000" s="24"/>
      <c r="F1000" s="24"/>
      <c r="H1000" s="24"/>
      <c r="I1000" s="24"/>
      <c r="J1000" s="24"/>
    </row>
    <row r="1001">
      <c r="C1001" s="24"/>
      <c r="F1001" s="24"/>
      <c r="H1001" s="24"/>
      <c r="I1001" s="24"/>
      <c r="J1001" s="24"/>
    </row>
  </sheetData>
  <conditionalFormatting sqref="H6">
    <cfRule type="containsText" dxfId="1" priority="1" operator="containsText" text="N">
      <formula>NOT(ISERROR(SEARCH(("N"),(H6))))</formula>
    </cfRule>
  </conditionalFormatting>
  <conditionalFormatting sqref="H1:H1001 J64">
    <cfRule type="cellIs" dxfId="0" priority="2" operator="equal">
      <formula>"Y"</formula>
    </cfRule>
  </conditionalFormatting>
  <conditionalFormatting sqref="H1:H1001 J64">
    <cfRule type="cellIs" dxfId="2" priority="3" operator="equal">
      <formula>"N"</formula>
    </cfRule>
  </conditionalFormatting>
  <dataValidations>
    <dataValidation type="list" allowBlank="1" sqref="F7:F1001 J7:J1001">
      <formula1>BaseData!$A$2:$A$43</formula1>
    </dataValidation>
    <dataValidation type="list" allowBlank="1" sqref="I7:I60 C7:C1001 I64:I1001">
      <formula1>"P1,P2,P3,P4,P5"</formula1>
    </dataValidation>
    <dataValidation type="list" allowBlank="1" sqref="H7:H1001">
      <formula1>"Y,N"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4.0"/>
    <col customWidth="1" min="3" max="3" width="7.25"/>
    <col customWidth="1" min="4" max="4" width="31.88"/>
    <col customWidth="1" min="5" max="5" width="9.13"/>
    <col customWidth="1" min="6" max="6" width="24.75"/>
    <col customWidth="1" min="7" max="7" width="8.75"/>
    <col customWidth="1" min="8" max="8" width="11.0"/>
    <col customWidth="1" min="9" max="9" width="9.75"/>
    <col customWidth="1" min="10" max="10" width="16.88"/>
    <col customWidth="1" min="11" max="11" width="10.88"/>
    <col customWidth="1" min="12" max="12" width="22.38"/>
    <col customWidth="1" min="13" max="13" width="17.5"/>
    <col customWidth="1" min="14" max="14" width="20.5"/>
    <col customWidth="1" min="15" max="15" width="24.88"/>
    <col customWidth="1" min="16" max="16" width="25.63"/>
    <col customWidth="1" min="17" max="17" width="23.25"/>
  </cols>
  <sheetData>
    <row r="1">
      <c r="B1" s="55"/>
      <c r="J1" s="8"/>
      <c r="L1" s="55"/>
      <c r="O1" s="9" t="s">
        <v>36</v>
      </c>
      <c r="P1" s="10" t="s">
        <v>37</v>
      </c>
      <c r="Q1" s="11"/>
    </row>
    <row r="2">
      <c r="A2" s="8"/>
      <c r="B2" s="56"/>
      <c r="E2" s="8"/>
      <c r="F2" s="12" t="s">
        <v>25</v>
      </c>
      <c r="G2" s="1">
        <f>countifs(A:A,"&lt;&gt;NEW",A:A,"&lt;&gt;")-1</f>
        <v>11</v>
      </c>
      <c r="I2" s="8"/>
      <c r="J2" s="8"/>
      <c r="L2" s="55"/>
      <c r="O2" s="13" t="s">
        <v>38</v>
      </c>
      <c r="P2" s="14" t="s">
        <v>39</v>
      </c>
      <c r="Q2" s="15" t="s">
        <v>40</v>
      </c>
    </row>
    <row r="3">
      <c r="A3" s="8"/>
      <c r="B3" s="56"/>
      <c r="D3" s="16"/>
      <c r="E3" s="8"/>
      <c r="F3" s="17" t="s">
        <v>41</v>
      </c>
      <c r="G3" s="18">
        <f>countif(H:H,"=Y")</f>
        <v>11</v>
      </c>
      <c r="H3" s="8"/>
      <c r="I3" s="8"/>
      <c r="J3" s="8"/>
      <c r="L3" s="55"/>
      <c r="O3" s="13" t="s">
        <v>42</v>
      </c>
      <c r="P3" s="14" t="s">
        <v>43</v>
      </c>
      <c r="Q3" s="15" t="s">
        <v>44</v>
      </c>
    </row>
    <row r="4">
      <c r="A4" s="8"/>
      <c r="B4" s="56"/>
      <c r="E4" s="8"/>
      <c r="F4" s="17" t="s">
        <v>45</v>
      </c>
      <c r="G4" s="18">
        <f>COUNTIF(A:A,"=NEW")</f>
        <v>0</v>
      </c>
      <c r="H4" s="8"/>
      <c r="I4" s="8"/>
      <c r="J4" s="8"/>
      <c r="L4" s="55"/>
      <c r="O4" s="13" t="s">
        <v>46</v>
      </c>
      <c r="P4" s="14" t="s">
        <v>47</v>
      </c>
      <c r="Q4" s="15" t="s">
        <v>48</v>
      </c>
    </row>
    <row r="5">
      <c r="A5" s="8"/>
      <c r="B5" s="56"/>
      <c r="C5" s="8"/>
      <c r="D5" s="8"/>
      <c r="E5" s="8"/>
      <c r="F5" s="8"/>
      <c r="G5" s="8"/>
      <c r="H5" s="8"/>
      <c r="I5" s="8"/>
      <c r="J5" s="8"/>
      <c r="L5" s="55"/>
      <c r="O5" s="13" t="s">
        <v>49</v>
      </c>
      <c r="P5" s="14" t="s">
        <v>50</v>
      </c>
      <c r="Q5" s="15" t="s">
        <v>51</v>
      </c>
    </row>
    <row r="6">
      <c r="A6" s="1" t="s">
        <v>52</v>
      </c>
      <c r="B6" s="57" t="s">
        <v>53</v>
      </c>
      <c r="C6" s="1" t="s">
        <v>54</v>
      </c>
      <c r="D6" s="1" t="s">
        <v>55</v>
      </c>
      <c r="E6" s="1" t="s">
        <v>56</v>
      </c>
      <c r="F6" s="1" t="s">
        <v>57</v>
      </c>
      <c r="G6" s="1" t="s">
        <v>58</v>
      </c>
      <c r="H6" s="18" t="s">
        <v>59</v>
      </c>
      <c r="I6" s="18" t="s">
        <v>60</v>
      </c>
      <c r="J6" s="18" t="s">
        <v>61</v>
      </c>
      <c r="K6" s="18" t="s">
        <v>62</v>
      </c>
      <c r="L6" s="58" t="s">
        <v>63</v>
      </c>
      <c r="M6" s="28" t="s">
        <v>164</v>
      </c>
      <c r="N6" s="28" t="s">
        <v>165</v>
      </c>
      <c r="O6" s="13" t="s">
        <v>64</v>
      </c>
      <c r="P6" s="14" t="s">
        <v>65</v>
      </c>
      <c r="Q6" s="15" t="s">
        <v>66</v>
      </c>
    </row>
    <row r="7">
      <c r="A7" s="19" t="s">
        <v>470</v>
      </c>
      <c r="B7" s="59" t="s">
        <v>471</v>
      </c>
      <c r="C7" s="19" t="s">
        <v>95</v>
      </c>
      <c r="D7" s="19" t="s">
        <v>472</v>
      </c>
      <c r="E7" s="19" t="s">
        <v>473</v>
      </c>
      <c r="F7" s="19" t="s">
        <v>474</v>
      </c>
      <c r="G7" s="19" t="s">
        <v>187</v>
      </c>
      <c r="H7" s="19" t="s">
        <v>143</v>
      </c>
      <c r="I7" s="19" t="s">
        <v>95</v>
      </c>
      <c r="J7" s="19" t="s">
        <v>474</v>
      </c>
      <c r="K7" s="25" t="str">
        <f>HYPERLINK("https://maxxton.atlassian.net/browse/QA-28973","QA-28973")</f>
        <v>QA-28973</v>
      </c>
      <c r="L7" s="59" t="s">
        <v>475</v>
      </c>
      <c r="M7" s="19" t="s">
        <v>187</v>
      </c>
      <c r="N7" s="19" t="s">
        <v>199</v>
      </c>
      <c r="O7" s="19" t="s">
        <v>67</v>
      </c>
      <c r="P7" s="19" t="s">
        <v>68</v>
      </c>
      <c r="Q7" s="19" t="s">
        <v>69</v>
      </c>
      <c r="R7" s="19"/>
      <c r="S7" s="19"/>
      <c r="T7" s="19"/>
      <c r="U7" s="19"/>
      <c r="V7" s="19"/>
      <c r="W7" s="19"/>
      <c r="X7" s="19"/>
      <c r="Y7" s="19"/>
      <c r="Z7" s="19"/>
      <c r="AA7" s="19"/>
    </row>
    <row r="8">
      <c r="A8" s="19" t="s">
        <v>476</v>
      </c>
      <c r="B8" s="59" t="s">
        <v>477</v>
      </c>
      <c r="C8" s="19" t="s">
        <v>95</v>
      </c>
      <c r="D8" s="19" t="s">
        <v>478</v>
      </c>
      <c r="E8" s="19" t="s">
        <v>473</v>
      </c>
      <c r="F8" s="19" t="s">
        <v>474</v>
      </c>
      <c r="G8" s="19" t="s">
        <v>187</v>
      </c>
      <c r="H8" s="19" t="s">
        <v>143</v>
      </c>
      <c r="I8" s="19" t="s">
        <v>95</v>
      </c>
      <c r="J8" s="19" t="s">
        <v>474</v>
      </c>
      <c r="K8" s="25" t="str">
        <f>HYPERLINK("https://maxxton.atlassian.net/browse/QA-28974","QA-28974")</f>
        <v>QA-28974</v>
      </c>
      <c r="L8" s="59" t="s">
        <v>475</v>
      </c>
      <c r="M8" s="19" t="s">
        <v>187</v>
      </c>
      <c r="N8" s="19" t="s">
        <v>479</v>
      </c>
      <c r="O8" s="19" t="s">
        <v>70</v>
      </c>
      <c r="P8" s="19" t="s">
        <v>71</v>
      </c>
      <c r="Q8" s="19" t="s">
        <v>72</v>
      </c>
      <c r="R8" s="19"/>
      <c r="S8" s="19"/>
      <c r="T8" s="19"/>
      <c r="U8" s="19"/>
      <c r="V8" s="19"/>
      <c r="W8" s="19"/>
      <c r="X8" s="19"/>
      <c r="Y8" s="19"/>
      <c r="Z8" s="19"/>
      <c r="AA8" s="19"/>
    </row>
    <row r="9">
      <c r="A9" s="19" t="s">
        <v>480</v>
      </c>
      <c r="B9" s="59" t="s">
        <v>481</v>
      </c>
      <c r="C9" s="19" t="s">
        <v>95</v>
      </c>
      <c r="D9" s="19" t="s">
        <v>482</v>
      </c>
      <c r="E9" s="19" t="s">
        <v>473</v>
      </c>
      <c r="F9" s="19" t="s">
        <v>474</v>
      </c>
      <c r="G9" s="19" t="s">
        <v>483</v>
      </c>
      <c r="H9" s="19" t="s">
        <v>143</v>
      </c>
      <c r="I9" s="19" t="s">
        <v>95</v>
      </c>
      <c r="J9" s="19" t="s">
        <v>474</v>
      </c>
      <c r="K9" s="25" t="str">
        <f>HYPERLINK("https://maxxton.atlassian.net/browse/QA-28975","QA-28975")</f>
        <v>QA-28975</v>
      </c>
      <c r="L9" s="59" t="s">
        <v>475</v>
      </c>
      <c r="M9" s="19" t="s">
        <v>483</v>
      </c>
      <c r="N9" s="19" t="s">
        <v>483</v>
      </c>
      <c r="O9" s="19" t="s">
        <v>73</v>
      </c>
      <c r="P9" s="19" t="s">
        <v>74</v>
      </c>
      <c r="Q9" s="19" t="s">
        <v>75</v>
      </c>
      <c r="R9" s="19"/>
      <c r="S9" s="19"/>
      <c r="T9" s="19"/>
      <c r="U9" s="19"/>
      <c r="V9" s="19"/>
      <c r="W9" s="19"/>
      <c r="X9" s="19"/>
      <c r="Y9" s="19"/>
      <c r="Z9" s="19"/>
      <c r="AA9" s="19"/>
    </row>
    <row r="10">
      <c r="A10" s="19" t="s">
        <v>484</v>
      </c>
      <c r="B10" s="59" t="s">
        <v>485</v>
      </c>
      <c r="C10" s="19" t="s">
        <v>95</v>
      </c>
      <c r="D10" s="19" t="s">
        <v>486</v>
      </c>
      <c r="E10" s="19" t="s">
        <v>473</v>
      </c>
      <c r="F10" s="19" t="s">
        <v>474</v>
      </c>
      <c r="G10" s="19" t="s">
        <v>179</v>
      </c>
      <c r="H10" s="19" t="s">
        <v>143</v>
      </c>
      <c r="I10" s="19" t="s">
        <v>95</v>
      </c>
      <c r="J10" s="19" t="s">
        <v>474</v>
      </c>
      <c r="K10" s="25" t="str">
        <f>HYPERLINK("https://maxxton.atlassian.net/browse/QA-28976","QA-28976")</f>
        <v>QA-28976</v>
      </c>
      <c r="L10" s="59" t="s">
        <v>475</v>
      </c>
      <c r="M10" s="19" t="s">
        <v>179</v>
      </c>
      <c r="N10" s="19" t="s">
        <v>179</v>
      </c>
      <c r="O10" s="19" t="s">
        <v>76</v>
      </c>
      <c r="P10" s="19"/>
      <c r="Q10" s="19"/>
      <c r="R10" s="19"/>
      <c r="S10" s="19"/>
      <c r="T10" s="19"/>
      <c r="U10" s="19"/>
      <c r="V10" s="19"/>
      <c r="W10" s="19"/>
      <c r="X10" s="19"/>
      <c r="Y10" s="19"/>
      <c r="Z10" s="19"/>
      <c r="AA10" s="19"/>
    </row>
    <row r="11">
      <c r="A11" s="19" t="s">
        <v>487</v>
      </c>
      <c r="B11" s="59" t="s">
        <v>488</v>
      </c>
      <c r="C11" s="19" t="s">
        <v>95</v>
      </c>
      <c r="D11" s="19" t="s">
        <v>489</v>
      </c>
      <c r="E11" s="19" t="s">
        <v>490</v>
      </c>
      <c r="F11" s="19" t="s">
        <v>491</v>
      </c>
      <c r="G11" s="19" t="s">
        <v>187</v>
      </c>
      <c r="H11" s="19" t="s">
        <v>143</v>
      </c>
      <c r="I11" s="19" t="s">
        <v>95</v>
      </c>
      <c r="J11" s="19" t="s">
        <v>492</v>
      </c>
      <c r="K11" s="25" t="str">
        <f>HYPERLINK("https://maxxton.atlassian.net/browse/QA-28977","QA-28977")</f>
        <v>QA-28977</v>
      </c>
      <c r="L11" s="59" t="s">
        <v>475</v>
      </c>
      <c r="M11" s="19" t="s">
        <v>187</v>
      </c>
      <c r="N11" s="19" t="s">
        <v>225</v>
      </c>
      <c r="O11" s="19" t="s">
        <v>77</v>
      </c>
      <c r="P11" s="19"/>
      <c r="Q11" s="19"/>
      <c r="R11" s="19"/>
      <c r="S11" s="19"/>
      <c r="T11" s="19"/>
      <c r="U11" s="19"/>
      <c r="V11" s="19"/>
      <c r="W11" s="19"/>
      <c r="X11" s="19"/>
      <c r="Y11" s="19"/>
      <c r="Z11" s="19"/>
      <c r="AA11" s="19"/>
    </row>
    <row r="12">
      <c r="A12" s="19" t="s">
        <v>493</v>
      </c>
      <c r="B12" s="59" t="s">
        <v>494</v>
      </c>
      <c r="C12" s="19" t="s">
        <v>95</v>
      </c>
      <c r="D12" s="19" t="s">
        <v>495</v>
      </c>
      <c r="E12" s="19" t="s">
        <v>490</v>
      </c>
      <c r="F12" s="19" t="s">
        <v>491</v>
      </c>
      <c r="G12" s="19" t="s">
        <v>187</v>
      </c>
      <c r="H12" s="19" t="s">
        <v>143</v>
      </c>
      <c r="I12" s="19" t="s">
        <v>95</v>
      </c>
      <c r="J12" s="19" t="s">
        <v>492</v>
      </c>
      <c r="K12" s="25" t="str">
        <f>HYPERLINK("https://maxxton.atlassian.net/browse/QA-28978","QA-28978")</f>
        <v>QA-28978</v>
      </c>
      <c r="L12" s="59" t="s">
        <v>475</v>
      </c>
      <c r="M12" s="19" t="s">
        <v>187</v>
      </c>
      <c r="N12" s="19" t="s">
        <v>179</v>
      </c>
      <c r="O12" s="19" t="s">
        <v>78</v>
      </c>
      <c r="P12" s="19"/>
      <c r="Q12" s="19"/>
      <c r="R12" s="19"/>
      <c r="S12" s="19"/>
      <c r="T12" s="19"/>
      <c r="U12" s="19"/>
      <c r="V12" s="19"/>
      <c r="W12" s="19"/>
      <c r="X12" s="19"/>
      <c r="Y12" s="19"/>
      <c r="Z12" s="19"/>
      <c r="AA12" s="19"/>
    </row>
    <row r="13">
      <c r="A13" s="19" t="s">
        <v>496</v>
      </c>
      <c r="B13" s="59" t="s">
        <v>497</v>
      </c>
      <c r="C13" s="19" t="s">
        <v>95</v>
      </c>
      <c r="D13" s="19" t="s">
        <v>498</v>
      </c>
      <c r="E13" s="19" t="s">
        <v>490</v>
      </c>
      <c r="F13" s="19" t="s">
        <v>492</v>
      </c>
      <c r="G13" s="19" t="s">
        <v>187</v>
      </c>
      <c r="H13" s="19" t="s">
        <v>143</v>
      </c>
      <c r="I13" s="19" t="s">
        <v>95</v>
      </c>
      <c r="J13" s="19" t="s">
        <v>492</v>
      </c>
      <c r="K13" s="25" t="str">
        <f>HYPERLINK("https://maxxton.atlassian.net/browse/QA-28979","QA-28979")</f>
        <v>QA-28979</v>
      </c>
      <c r="L13" s="59" t="s">
        <v>475</v>
      </c>
      <c r="M13" s="19" t="s">
        <v>187</v>
      </c>
      <c r="N13" s="19" t="s">
        <v>179</v>
      </c>
      <c r="O13" s="19" t="s">
        <v>79</v>
      </c>
      <c r="P13" s="19"/>
      <c r="Q13" s="19"/>
      <c r="R13" s="19"/>
      <c r="S13" s="19"/>
      <c r="T13" s="19"/>
      <c r="U13" s="19"/>
      <c r="V13" s="19"/>
      <c r="W13" s="19"/>
      <c r="X13" s="19"/>
      <c r="Y13" s="19"/>
      <c r="Z13" s="19"/>
      <c r="AA13" s="19"/>
    </row>
    <row r="14">
      <c r="A14" s="19" t="s">
        <v>499</v>
      </c>
      <c r="B14" s="59" t="s">
        <v>500</v>
      </c>
      <c r="C14" s="19" t="s">
        <v>95</v>
      </c>
      <c r="D14" s="19" t="s">
        <v>501</v>
      </c>
      <c r="E14" s="19" t="s">
        <v>490</v>
      </c>
      <c r="F14" s="19" t="s">
        <v>492</v>
      </c>
      <c r="G14" s="19" t="s">
        <v>187</v>
      </c>
      <c r="H14" s="19" t="s">
        <v>143</v>
      </c>
      <c r="I14" s="19" t="s">
        <v>95</v>
      </c>
      <c r="J14" s="19" t="s">
        <v>492</v>
      </c>
      <c r="K14" s="25" t="str">
        <f>HYPERLINK("https://maxxton.atlassian.net/browse/QA-28980","QA-28980")</f>
        <v>QA-28980</v>
      </c>
      <c r="L14" s="59" t="s">
        <v>475</v>
      </c>
      <c r="M14" s="19" t="s">
        <v>187</v>
      </c>
      <c r="N14" s="19" t="s">
        <v>187</v>
      </c>
      <c r="O14" s="19" t="s">
        <v>80</v>
      </c>
      <c r="P14" s="19"/>
      <c r="Q14" s="19"/>
      <c r="R14" s="19"/>
      <c r="S14" s="19"/>
      <c r="T14" s="19"/>
      <c r="U14" s="19"/>
      <c r="V14" s="19"/>
      <c r="W14" s="19"/>
      <c r="X14" s="19"/>
      <c r="Y14" s="19"/>
      <c r="Z14" s="19"/>
      <c r="AA14" s="19"/>
    </row>
    <row r="15">
      <c r="A15" s="19" t="s">
        <v>502</v>
      </c>
      <c r="B15" s="59" t="s">
        <v>503</v>
      </c>
      <c r="C15" s="19" t="s">
        <v>95</v>
      </c>
      <c r="D15" s="19" t="s">
        <v>501</v>
      </c>
      <c r="E15" s="19" t="s">
        <v>490</v>
      </c>
      <c r="F15" s="19" t="s">
        <v>491</v>
      </c>
      <c r="G15" s="19" t="s">
        <v>179</v>
      </c>
      <c r="H15" s="19" t="s">
        <v>143</v>
      </c>
      <c r="I15" s="19" t="s">
        <v>95</v>
      </c>
      <c r="J15" s="19" t="s">
        <v>492</v>
      </c>
      <c r="K15" s="26" t="str">
        <f>HYPERLINK("https://maxxton.atlassian.net/browse/QA-28981","QA-28981")</f>
        <v>QA-28981</v>
      </c>
      <c r="L15" s="59" t="s">
        <v>475</v>
      </c>
      <c r="M15" s="60" t="s">
        <v>179</v>
      </c>
      <c r="N15" s="60" t="s">
        <v>504</v>
      </c>
      <c r="O15" s="14" t="s">
        <v>81</v>
      </c>
      <c r="P15" s="20"/>
      <c r="Q15" s="20"/>
    </row>
    <row r="16">
      <c r="A16" s="25" t="str">
        <f>HYPERLINK("https://maxxton.atlassian.net/browse/QA-23955","QA-23955")</f>
        <v>QA-23955</v>
      </c>
      <c r="B16" s="59" t="s">
        <v>505</v>
      </c>
      <c r="C16" s="19" t="s">
        <v>95</v>
      </c>
      <c r="D16" s="19" t="s">
        <v>501</v>
      </c>
      <c r="E16" s="19" t="s">
        <v>490</v>
      </c>
      <c r="F16" s="19" t="s">
        <v>474</v>
      </c>
      <c r="G16" s="19" t="s">
        <v>187</v>
      </c>
      <c r="H16" s="19" t="s">
        <v>143</v>
      </c>
      <c r="I16" s="19" t="s">
        <v>95</v>
      </c>
      <c r="J16" s="19" t="s">
        <v>474</v>
      </c>
      <c r="K16" s="26" t="str">
        <f>HYPERLINK("https://maxxton.atlassian.net/browse/QA-28982","QA-28982")</f>
        <v>QA-28982</v>
      </c>
      <c r="L16" s="59" t="s">
        <v>475</v>
      </c>
      <c r="M16" s="8" t="s">
        <v>187</v>
      </c>
      <c r="N16" s="60" t="s">
        <v>187</v>
      </c>
      <c r="O16" s="14" t="s">
        <v>82</v>
      </c>
      <c r="P16" s="20"/>
      <c r="Q16" s="20"/>
    </row>
    <row r="17">
      <c r="A17" s="25" t="str">
        <f>HYPERLINK("https://maxxton.atlassian.net/browse/QA-23956","QA-23956")</f>
        <v>QA-23956</v>
      </c>
      <c r="B17" s="59" t="s">
        <v>506</v>
      </c>
      <c r="C17" s="19" t="s">
        <v>95</v>
      </c>
      <c r="D17" s="19" t="s">
        <v>501</v>
      </c>
      <c r="E17" s="19" t="s">
        <v>490</v>
      </c>
      <c r="F17" s="19" t="s">
        <v>492</v>
      </c>
      <c r="G17" s="19" t="s">
        <v>187</v>
      </c>
      <c r="H17" s="19" t="s">
        <v>143</v>
      </c>
      <c r="I17" s="19" t="s">
        <v>95</v>
      </c>
      <c r="J17" s="19" t="s">
        <v>492</v>
      </c>
      <c r="K17" s="26" t="str">
        <f>HYPERLINK("https://maxxton.atlassian.net/browse/QA-28983","QA-28983")</f>
        <v>QA-28983</v>
      </c>
      <c r="L17" s="59" t="s">
        <v>475</v>
      </c>
      <c r="M17" s="8" t="s">
        <v>187</v>
      </c>
      <c r="N17" s="60" t="s">
        <v>187</v>
      </c>
      <c r="O17" s="14" t="s">
        <v>83</v>
      </c>
      <c r="P17" s="20"/>
      <c r="Q17" s="20"/>
    </row>
    <row r="18">
      <c r="A18" s="21"/>
      <c r="B18" s="61"/>
      <c r="C18" s="21"/>
      <c r="D18" s="21"/>
      <c r="E18" s="21"/>
      <c r="F18" s="19"/>
      <c r="G18" s="21"/>
      <c r="H18" s="21"/>
      <c r="I18" s="21"/>
      <c r="J18" s="21"/>
      <c r="K18" s="21"/>
      <c r="L18" s="61"/>
      <c r="O18" s="14" t="s">
        <v>84</v>
      </c>
      <c r="P18" s="20"/>
      <c r="Q18" s="20"/>
    </row>
    <row r="19">
      <c r="A19" s="21"/>
      <c r="B19" s="61"/>
      <c r="C19" s="21"/>
      <c r="D19" s="21"/>
      <c r="E19" s="21"/>
      <c r="F19" s="19"/>
      <c r="G19" s="21"/>
      <c r="H19" s="21"/>
      <c r="I19" s="21"/>
      <c r="J19" s="21"/>
      <c r="K19" s="21"/>
      <c r="L19" s="61"/>
      <c r="O19" s="14" t="s">
        <v>85</v>
      </c>
      <c r="P19" s="20"/>
      <c r="Q19" s="20"/>
    </row>
    <row r="20">
      <c r="A20" s="21"/>
      <c r="B20" s="61"/>
      <c r="C20" s="21"/>
      <c r="D20" s="21"/>
      <c r="E20" s="21"/>
      <c r="F20" s="19"/>
      <c r="G20" s="21"/>
      <c r="H20" s="21"/>
      <c r="I20" s="21"/>
      <c r="J20" s="21"/>
      <c r="K20" s="21"/>
      <c r="L20" s="61"/>
      <c r="O20" s="14" t="s">
        <v>86</v>
      </c>
      <c r="P20" s="20"/>
      <c r="Q20" s="20"/>
    </row>
    <row r="21">
      <c r="A21" s="21"/>
      <c r="B21" s="61"/>
      <c r="C21" s="21"/>
      <c r="D21" s="21"/>
      <c r="E21" s="21"/>
      <c r="F21" s="19"/>
      <c r="G21" s="21"/>
      <c r="H21" s="21"/>
      <c r="I21" s="21"/>
      <c r="J21" s="21"/>
      <c r="K21" s="21"/>
      <c r="L21" s="61"/>
      <c r="O21" s="14" t="s">
        <v>87</v>
      </c>
      <c r="P21" s="20"/>
      <c r="Q21" s="20"/>
    </row>
    <row r="22">
      <c r="A22" s="21"/>
      <c r="B22" s="61"/>
      <c r="C22" s="21"/>
      <c r="D22" s="21"/>
      <c r="E22" s="21"/>
      <c r="F22" s="19"/>
      <c r="G22" s="21"/>
      <c r="H22" s="21"/>
      <c r="I22" s="21"/>
      <c r="J22" s="21"/>
      <c r="K22" s="21"/>
      <c r="L22" s="61"/>
      <c r="O22" s="14" t="s">
        <v>88</v>
      </c>
      <c r="P22" s="20"/>
      <c r="Q22" s="20"/>
    </row>
    <row r="23">
      <c r="A23" s="21"/>
      <c r="B23" s="61"/>
      <c r="C23" s="21"/>
      <c r="D23" s="21"/>
      <c r="E23" s="21"/>
      <c r="F23" s="19"/>
      <c r="G23" s="21"/>
      <c r="H23" s="21"/>
      <c r="I23" s="21"/>
      <c r="J23" s="21"/>
      <c r="K23" s="21"/>
      <c r="L23" s="61"/>
      <c r="O23" s="14" t="s">
        <v>89</v>
      </c>
      <c r="P23" s="20"/>
      <c r="Q23" s="20"/>
    </row>
    <row r="24">
      <c r="A24" s="21"/>
      <c r="B24" s="61"/>
      <c r="C24" s="21"/>
      <c r="D24" s="21"/>
      <c r="E24" s="21"/>
      <c r="F24" s="19"/>
      <c r="G24" s="21"/>
      <c r="H24" s="21"/>
      <c r="I24" s="21"/>
      <c r="J24" s="21"/>
      <c r="K24" s="21"/>
      <c r="L24" s="61"/>
      <c r="O24" s="22" t="s">
        <v>90</v>
      </c>
      <c r="P24" s="20"/>
      <c r="Q24" s="20"/>
    </row>
    <row r="25">
      <c r="A25" s="21"/>
      <c r="B25" s="61"/>
      <c r="C25" s="21"/>
      <c r="D25" s="21"/>
      <c r="E25" s="21"/>
      <c r="F25" s="19"/>
      <c r="G25" s="21"/>
      <c r="H25" s="21"/>
      <c r="I25" s="21"/>
      <c r="J25" s="21"/>
      <c r="K25" s="21"/>
      <c r="L25" s="61"/>
      <c r="O25" s="22" t="s">
        <v>91</v>
      </c>
      <c r="P25" s="20"/>
      <c r="Q25" s="20"/>
    </row>
    <row r="26">
      <c r="A26" s="21"/>
      <c r="B26" s="61"/>
      <c r="C26" s="21"/>
      <c r="D26" s="21"/>
      <c r="E26" s="21"/>
      <c r="F26" s="19"/>
      <c r="G26" s="21"/>
      <c r="H26" s="21"/>
      <c r="I26" s="21"/>
      <c r="J26" s="21"/>
      <c r="K26" s="21"/>
      <c r="L26" s="61"/>
      <c r="O26" s="23" t="s">
        <v>92</v>
      </c>
      <c r="P26" s="20"/>
      <c r="Q26" s="20"/>
    </row>
    <row r="27">
      <c r="A27" s="21"/>
      <c r="B27" s="61"/>
      <c r="C27" s="21"/>
      <c r="D27" s="21"/>
      <c r="E27" s="21"/>
      <c r="F27" s="19"/>
      <c r="G27" s="21"/>
      <c r="H27" s="21"/>
      <c r="I27" s="21"/>
      <c r="J27" s="21"/>
      <c r="K27" s="21"/>
      <c r="L27" s="61"/>
    </row>
    <row r="28">
      <c r="A28" s="21"/>
      <c r="B28" s="61"/>
      <c r="C28" s="21"/>
      <c r="D28" s="21"/>
      <c r="E28" s="21"/>
      <c r="F28" s="19"/>
      <c r="G28" s="21"/>
      <c r="H28" s="21"/>
      <c r="I28" s="21"/>
      <c r="J28" s="21"/>
      <c r="K28" s="21"/>
      <c r="L28" s="61"/>
    </row>
    <row r="29">
      <c r="A29" s="21"/>
      <c r="B29" s="61"/>
      <c r="C29" s="21"/>
      <c r="D29" s="21"/>
      <c r="E29" s="21"/>
      <c r="F29" s="21"/>
      <c r="G29" s="21"/>
      <c r="H29" s="21"/>
      <c r="I29" s="21"/>
      <c r="J29" s="21"/>
      <c r="K29" s="21"/>
      <c r="L29" s="61"/>
    </row>
    <row r="30">
      <c r="A30" s="21"/>
      <c r="B30" s="61"/>
      <c r="C30" s="21"/>
      <c r="D30" s="21"/>
      <c r="E30" s="21"/>
      <c r="F30" s="21"/>
      <c r="G30" s="21"/>
      <c r="H30" s="21"/>
      <c r="I30" s="21"/>
      <c r="J30" s="21"/>
      <c r="K30" s="21"/>
      <c r="L30" s="61"/>
    </row>
    <row r="31">
      <c r="A31" s="21"/>
      <c r="B31" s="61"/>
      <c r="C31" s="21"/>
      <c r="D31" s="21"/>
      <c r="E31" s="21"/>
      <c r="F31" s="21"/>
      <c r="G31" s="21"/>
      <c r="H31" s="21"/>
      <c r="I31" s="21"/>
      <c r="J31" s="21"/>
      <c r="K31" s="21"/>
      <c r="L31" s="61"/>
    </row>
    <row r="32">
      <c r="A32" s="21"/>
      <c r="B32" s="61"/>
      <c r="C32" s="21"/>
      <c r="D32" s="21"/>
      <c r="E32" s="21"/>
      <c r="F32" s="21"/>
      <c r="G32" s="21"/>
      <c r="H32" s="21"/>
      <c r="I32" s="21"/>
      <c r="J32" s="21"/>
      <c r="K32" s="21"/>
      <c r="L32" s="61"/>
    </row>
    <row r="33">
      <c r="A33" s="21"/>
      <c r="B33" s="61"/>
      <c r="C33" s="21"/>
      <c r="D33" s="21"/>
      <c r="E33" s="21"/>
      <c r="F33" s="21"/>
      <c r="G33" s="21"/>
      <c r="H33" s="21"/>
      <c r="I33" s="21"/>
      <c r="J33" s="21"/>
      <c r="K33" s="21"/>
      <c r="L33" s="61"/>
    </row>
    <row r="34">
      <c r="A34" s="21"/>
      <c r="B34" s="61"/>
      <c r="C34" s="21"/>
      <c r="D34" s="21"/>
      <c r="E34" s="21"/>
      <c r="F34" s="21"/>
      <c r="G34" s="21"/>
      <c r="H34" s="21"/>
      <c r="I34" s="21"/>
      <c r="J34" s="21"/>
      <c r="K34" s="21"/>
      <c r="L34" s="61"/>
    </row>
    <row r="35">
      <c r="A35" s="21"/>
      <c r="B35" s="61"/>
      <c r="C35" s="21"/>
      <c r="D35" s="21"/>
      <c r="E35" s="21"/>
      <c r="F35" s="21"/>
      <c r="G35" s="21"/>
      <c r="H35" s="21"/>
      <c r="I35" s="21"/>
      <c r="J35" s="21"/>
      <c r="K35" s="21"/>
      <c r="L35" s="61"/>
    </row>
    <row r="36">
      <c r="A36" s="21"/>
      <c r="B36" s="61"/>
      <c r="C36" s="21"/>
      <c r="D36" s="21"/>
      <c r="E36" s="21"/>
      <c r="F36" s="21"/>
      <c r="G36" s="21"/>
      <c r="H36" s="21"/>
      <c r="I36" s="21"/>
      <c r="J36" s="21"/>
      <c r="K36" s="21"/>
      <c r="L36" s="61"/>
    </row>
    <row r="37">
      <c r="A37" s="21"/>
      <c r="B37" s="61"/>
      <c r="C37" s="21"/>
      <c r="D37" s="21"/>
      <c r="E37" s="21"/>
      <c r="F37" s="21"/>
      <c r="G37" s="21"/>
      <c r="H37" s="21"/>
      <c r="I37" s="21"/>
      <c r="J37" s="21"/>
      <c r="K37" s="21"/>
      <c r="L37" s="61"/>
    </row>
    <row r="38">
      <c r="A38" s="21"/>
      <c r="B38" s="61"/>
      <c r="C38" s="21"/>
      <c r="D38" s="21"/>
      <c r="E38" s="21"/>
      <c r="F38" s="21"/>
      <c r="G38" s="21"/>
      <c r="H38" s="21"/>
      <c r="I38" s="21"/>
      <c r="J38" s="21"/>
      <c r="K38" s="21"/>
      <c r="L38" s="61"/>
    </row>
    <row r="39">
      <c r="A39" s="21"/>
      <c r="B39" s="61"/>
      <c r="C39" s="21"/>
      <c r="D39" s="21"/>
      <c r="E39" s="21"/>
      <c r="F39" s="21"/>
      <c r="G39" s="21"/>
      <c r="H39" s="21"/>
      <c r="I39" s="21"/>
      <c r="J39" s="21"/>
      <c r="K39" s="21"/>
      <c r="L39" s="61"/>
    </row>
    <row r="40">
      <c r="A40" s="21"/>
      <c r="B40" s="61"/>
      <c r="C40" s="21"/>
      <c r="D40" s="21"/>
      <c r="E40" s="21"/>
      <c r="F40" s="21"/>
      <c r="G40" s="21"/>
      <c r="H40" s="21"/>
      <c r="I40" s="21"/>
      <c r="J40" s="21"/>
      <c r="K40" s="21"/>
      <c r="L40" s="61"/>
    </row>
    <row r="41">
      <c r="A41" s="21"/>
      <c r="B41" s="61"/>
      <c r="C41" s="21"/>
      <c r="D41" s="21"/>
      <c r="E41" s="21"/>
      <c r="F41" s="21"/>
      <c r="G41" s="21"/>
      <c r="H41" s="21"/>
      <c r="I41" s="21"/>
      <c r="J41" s="21"/>
      <c r="K41" s="21"/>
      <c r="L41" s="61"/>
    </row>
    <row r="42">
      <c r="A42" s="21"/>
      <c r="B42" s="61"/>
      <c r="C42" s="21"/>
      <c r="D42" s="21"/>
      <c r="E42" s="21"/>
      <c r="F42" s="21"/>
      <c r="G42" s="21"/>
      <c r="H42" s="21"/>
      <c r="I42" s="21"/>
      <c r="J42" s="21"/>
      <c r="K42" s="21"/>
      <c r="L42" s="61"/>
    </row>
    <row r="43">
      <c r="A43" s="21"/>
      <c r="B43" s="61"/>
      <c r="C43" s="21"/>
      <c r="D43" s="21"/>
      <c r="E43" s="21"/>
      <c r="F43" s="21"/>
      <c r="G43" s="21"/>
      <c r="H43" s="21"/>
      <c r="I43" s="21"/>
      <c r="J43" s="21"/>
      <c r="K43" s="21"/>
      <c r="L43" s="61"/>
    </row>
    <row r="44">
      <c r="A44" s="21"/>
      <c r="B44" s="61"/>
      <c r="C44" s="21"/>
      <c r="D44" s="21"/>
      <c r="E44" s="21"/>
      <c r="F44" s="21"/>
      <c r="G44" s="21"/>
      <c r="H44" s="21"/>
      <c r="I44" s="21"/>
      <c r="J44" s="21"/>
      <c r="K44" s="21"/>
      <c r="L44" s="61"/>
    </row>
    <row r="45">
      <c r="A45" s="21"/>
      <c r="B45" s="61"/>
      <c r="C45" s="21"/>
      <c r="D45" s="21"/>
      <c r="E45" s="21"/>
      <c r="F45" s="21"/>
      <c r="G45" s="21"/>
      <c r="H45" s="21"/>
      <c r="I45" s="21"/>
      <c r="J45" s="21"/>
      <c r="K45" s="21"/>
      <c r="L45" s="61"/>
    </row>
    <row r="46">
      <c r="A46" s="21"/>
      <c r="B46" s="61"/>
      <c r="C46" s="21"/>
      <c r="D46" s="21"/>
      <c r="E46" s="21"/>
      <c r="F46" s="21"/>
      <c r="G46" s="21"/>
      <c r="H46" s="21"/>
      <c r="I46" s="21"/>
      <c r="J46" s="21"/>
      <c r="K46" s="21"/>
      <c r="L46" s="61"/>
    </row>
    <row r="47">
      <c r="A47" s="21"/>
      <c r="B47" s="61"/>
      <c r="C47" s="21"/>
      <c r="D47" s="21"/>
      <c r="E47" s="21"/>
      <c r="F47" s="21"/>
      <c r="G47" s="21"/>
      <c r="H47" s="21"/>
      <c r="I47" s="21"/>
      <c r="J47" s="21"/>
      <c r="K47" s="21"/>
      <c r="L47" s="61"/>
    </row>
    <row r="48">
      <c r="A48" s="21"/>
      <c r="B48" s="61"/>
      <c r="C48" s="21"/>
      <c r="D48" s="21"/>
      <c r="E48" s="21"/>
      <c r="F48" s="21"/>
      <c r="G48" s="21"/>
      <c r="H48" s="21"/>
      <c r="I48" s="21"/>
      <c r="J48" s="21"/>
      <c r="K48" s="21"/>
      <c r="L48" s="61"/>
    </row>
    <row r="49">
      <c r="A49" s="21"/>
      <c r="B49" s="61"/>
      <c r="C49" s="21"/>
      <c r="D49" s="21"/>
      <c r="E49" s="21"/>
      <c r="F49" s="21"/>
      <c r="G49" s="21"/>
      <c r="H49" s="21"/>
      <c r="I49" s="21"/>
      <c r="J49" s="21"/>
      <c r="K49" s="21"/>
      <c r="L49" s="61"/>
    </row>
    <row r="50">
      <c r="A50" s="21"/>
      <c r="B50" s="61"/>
      <c r="C50" s="21"/>
      <c r="D50" s="21"/>
      <c r="E50" s="21"/>
      <c r="F50" s="21"/>
      <c r="G50" s="21"/>
      <c r="H50" s="21"/>
      <c r="I50" s="21"/>
      <c r="J50" s="21"/>
      <c r="K50" s="21"/>
      <c r="L50" s="61"/>
    </row>
    <row r="51">
      <c r="A51" s="21"/>
      <c r="B51" s="61"/>
      <c r="C51" s="21"/>
      <c r="D51" s="21"/>
      <c r="E51" s="21"/>
      <c r="F51" s="21"/>
      <c r="G51" s="21"/>
      <c r="H51" s="21"/>
      <c r="I51" s="21"/>
      <c r="J51" s="21"/>
      <c r="K51" s="21"/>
      <c r="L51" s="61"/>
    </row>
    <row r="52">
      <c r="A52" s="21"/>
      <c r="B52" s="61"/>
      <c r="C52" s="21"/>
      <c r="D52" s="21"/>
      <c r="E52" s="21"/>
      <c r="F52" s="21"/>
      <c r="G52" s="21"/>
      <c r="H52" s="21"/>
      <c r="I52" s="21"/>
      <c r="J52" s="21"/>
      <c r="K52" s="21"/>
      <c r="L52" s="61"/>
    </row>
    <row r="53">
      <c r="A53" s="21"/>
      <c r="B53" s="61"/>
      <c r="C53" s="21"/>
      <c r="D53" s="21"/>
      <c r="E53" s="21"/>
      <c r="F53" s="21"/>
      <c r="G53" s="21"/>
      <c r="H53" s="21"/>
      <c r="I53" s="21"/>
      <c r="J53" s="21"/>
      <c r="K53" s="21"/>
      <c r="L53" s="61"/>
    </row>
    <row r="54">
      <c r="A54" s="21"/>
      <c r="B54" s="61"/>
      <c r="C54" s="21"/>
      <c r="D54" s="21"/>
      <c r="E54" s="21"/>
      <c r="F54" s="21"/>
      <c r="G54" s="21"/>
      <c r="H54" s="21"/>
      <c r="I54" s="21"/>
      <c r="J54" s="21"/>
      <c r="K54" s="21"/>
      <c r="L54" s="61"/>
    </row>
    <row r="55">
      <c r="A55" s="21"/>
      <c r="B55" s="61"/>
      <c r="C55" s="21"/>
      <c r="D55" s="21"/>
      <c r="E55" s="21"/>
      <c r="F55" s="21"/>
      <c r="G55" s="21"/>
      <c r="H55" s="21"/>
      <c r="I55" s="21"/>
      <c r="J55" s="21"/>
      <c r="K55" s="21"/>
      <c r="L55" s="61"/>
    </row>
    <row r="56">
      <c r="A56" s="21"/>
      <c r="B56" s="61"/>
      <c r="C56" s="21"/>
      <c r="D56" s="21"/>
      <c r="E56" s="21"/>
      <c r="F56" s="21"/>
      <c r="G56" s="21"/>
      <c r="H56" s="21"/>
      <c r="I56" s="21"/>
      <c r="J56" s="21"/>
      <c r="K56" s="21"/>
      <c r="L56" s="61"/>
    </row>
    <row r="57">
      <c r="A57" s="21"/>
      <c r="B57" s="61"/>
      <c r="C57" s="21"/>
      <c r="D57" s="21"/>
      <c r="E57" s="21"/>
      <c r="F57" s="21"/>
      <c r="G57" s="21"/>
      <c r="H57" s="21"/>
      <c r="I57" s="21"/>
      <c r="J57" s="21"/>
      <c r="K57" s="21"/>
      <c r="L57" s="61"/>
    </row>
    <row r="58">
      <c r="A58" s="21"/>
      <c r="B58" s="61"/>
      <c r="C58" s="21"/>
      <c r="D58" s="21"/>
      <c r="E58" s="21"/>
      <c r="F58" s="21"/>
      <c r="G58" s="21"/>
      <c r="H58" s="21"/>
      <c r="I58" s="21"/>
      <c r="J58" s="21"/>
      <c r="K58" s="21"/>
      <c r="L58" s="61"/>
    </row>
    <row r="59">
      <c r="A59" s="21"/>
      <c r="B59" s="61"/>
      <c r="C59" s="21"/>
      <c r="D59" s="21"/>
      <c r="E59" s="21"/>
      <c r="F59" s="21"/>
      <c r="G59" s="21"/>
      <c r="H59" s="21"/>
      <c r="I59" s="21"/>
      <c r="J59" s="21"/>
      <c r="K59" s="21"/>
      <c r="L59" s="61"/>
    </row>
    <row r="60">
      <c r="A60" s="21"/>
      <c r="B60" s="61"/>
      <c r="C60" s="21"/>
      <c r="D60" s="21"/>
      <c r="E60" s="21"/>
      <c r="F60" s="21"/>
      <c r="G60" s="21"/>
      <c r="H60" s="21"/>
      <c r="I60" s="21"/>
      <c r="J60" s="21"/>
      <c r="K60" s="21"/>
      <c r="L60" s="61"/>
    </row>
    <row r="61">
      <c r="B61" s="55"/>
      <c r="C61" s="24"/>
      <c r="F61" s="24"/>
      <c r="H61" s="24"/>
      <c r="I61" s="24"/>
      <c r="J61" s="24"/>
      <c r="L61" s="55"/>
    </row>
    <row r="62">
      <c r="B62" s="55"/>
      <c r="C62" s="24"/>
      <c r="F62" s="24"/>
      <c r="H62" s="24"/>
      <c r="I62" s="24"/>
      <c r="J62" s="24"/>
      <c r="L62" s="55"/>
    </row>
    <row r="63">
      <c r="B63" s="55"/>
      <c r="C63" s="24"/>
      <c r="F63" s="24"/>
      <c r="H63" s="24"/>
      <c r="I63" s="24"/>
      <c r="J63" s="24"/>
      <c r="L63" s="55"/>
    </row>
    <row r="64">
      <c r="B64" s="55"/>
      <c r="C64" s="24"/>
      <c r="F64" s="24"/>
      <c r="H64" s="24"/>
      <c r="I64" s="24"/>
      <c r="J64" s="24"/>
      <c r="L64" s="55"/>
    </row>
    <row r="65">
      <c r="B65" s="55"/>
      <c r="C65" s="24"/>
      <c r="F65" s="24"/>
      <c r="H65" s="24"/>
      <c r="I65" s="24"/>
      <c r="J65" s="24"/>
      <c r="L65" s="55"/>
    </row>
    <row r="66">
      <c r="B66" s="55"/>
      <c r="C66" s="24"/>
      <c r="F66" s="24"/>
      <c r="H66" s="24"/>
      <c r="I66" s="24"/>
      <c r="J66" s="24"/>
      <c r="L66" s="55"/>
    </row>
    <row r="67">
      <c r="B67" s="55"/>
      <c r="C67" s="24"/>
      <c r="F67" s="24"/>
      <c r="H67" s="24"/>
      <c r="I67" s="24"/>
      <c r="J67" s="24"/>
      <c r="L67" s="55"/>
    </row>
    <row r="68">
      <c r="B68" s="55"/>
      <c r="C68" s="24"/>
      <c r="F68" s="24"/>
      <c r="H68" s="24"/>
      <c r="I68" s="24"/>
      <c r="J68" s="24"/>
      <c r="L68" s="55"/>
    </row>
    <row r="69">
      <c r="B69" s="55"/>
      <c r="C69" s="24"/>
      <c r="F69" s="24"/>
      <c r="H69" s="24"/>
      <c r="I69" s="24"/>
      <c r="J69" s="24"/>
      <c r="L69" s="55"/>
    </row>
    <row r="70">
      <c r="B70" s="55"/>
      <c r="C70" s="24"/>
      <c r="F70" s="24"/>
      <c r="H70" s="24"/>
      <c r="I70" s="24"/>
      <c r="J70" s="24"/>
      <c r="L70" s="55"/>
    </row>
    <row r="71">
      <c r="B71" s="55"/>
      <c r="C71" s="24"/>
      <c r="F71" s="24"/>
      <c r="H71" s="24"/>
      <c r="I71" s="24"/>
      <c r="J71" s="24"/>
      <c r="L71" s="55"/>
    </row>
    <row r="72">
      <c r="B72" s="55"/>
      <c r="C72" s="24"/>
      <c r="F72" s="24"/>
      <c r="H72" s="24"/>
      <c r="I72" s="24"/>
      <c r="J72" s="24"/>
      <c r="L72" s="55"/>
    </row>
    <row r="73">
      <c r="B73" s="55"/>
      <c r="C73" s="24"/>
      <c r="F73" s="24"/>
      <c r="H73" s="24"/>
      <c r="I73" s="24"/>
      <c r="J73" s="24"/>
      <c r="L73" s="55"/>
    </row>
    <row r="74">
      <c r="B74" s="55"/>
      <c r="C74" s="24"/>
      <c r="F74" s="24"/>
      <c r="H74" s="24"/>
      <c r="I74" s="24"/>
      <c r="J74" s="24"/>
      <c r="L74" s="55"/>
    </row>
    <row r="75">
      <c r="B75" s="55"/>
      <c r="C75" s="24"/>
      <c r="F75" s="24"/>
      <c r="H75" s="24"/>
      <c r="I75" s="24"/>
      <c r="J75" s="24"/>
      <c r="L75" s="55"/>
    </row>
    <row r="76">
      <c r="B76" s="55"/>
      <c r="C76" s="24"/>
      <c r="F76" s="24"/>
      <c r="H76" s="24"/>
      <c r="I76" s="24"/>
      <c r="J76" s="24"/>
      <c r="L76" s="55"/>
    </row>
    <row r="77">
      <c r="B77" s="55"/>
      <c r="C77" s="24"/>
      <c r="F77" s="24"/>
      <c r="H77" s="24"/>
      <c r="I77" s="24"/>
      <c r="J77" s="24"/>
      <c r="L77" s="55"/>
    </row>
    <row r="78">
      <c r="B78" s="55"/>
      <c r="C78" s="24"/>
      <c r="F78" s="24"/>
      <c r="H78" s="24"/>
      <c r="I78" s="24"/>
      <c r="J78" s="24"/>
      <c r="L78" s="55"/>
    </row>
    <row r="79">
      <c r="B79" s="55"/>
      <c r="C79" s="24"/>
      <c r="F79" s="24"/>
      <c r="H79" s="24"/>
      <c r="I79" s="24"/>
      <c r="J79" s="24"/>
      <c r="L79" s="55"/>
    </row>
    <row r="80">
      <c r="B80" s="55"/>
      <c r="C80" s="24"/>
      <c r="F80" s="24"/>
      <c r="H80" s="24"/>
      <c r="I80" s="24"/>
      <c r="J80" s="24"/>
      <c r="L80" s="55"/>
    </row>
    <row r="81">
      <c r="B81" s="55"/>
      <c r="C81" s="24"/>
      <c r="F81" s="24"/>
      <c r="H81" s="24"/>
      <c r="I81" s="24"/>
      <c r="J81" s="24"/>
      <c r="L81" s="55"/>
    </row>
    <row r="82">
      <c r="B82" s="55"/>
      <c r="C82" s="24"/>
      <c r="F82" s="24"/>
      <c r="H82" s="24"/>
      <c r="I82" s="24"/>
      <c r="J82" s="24"/>
      <c r="L82" s="55"/>
    </row>
    <row r="83">
      <c r="B83" s="55"/>
      <c r="C83" s="24"/>
      <c r="F83" s="24"/>
      <c r="H83" s="24"/>
      <c r="I83" s="24"/>
      <c r="J83" s="24"/>
      <c r="L83" s="55"/>
    </row>
    <row r="84">
      <c r="B84" s="55"/>
      <c r="C84" s="24"/>
      <c r="F84" s="24"/>
      <c r="H84" s="24"/>
      <c r="I84" s="24"/>
      <c r="J84" s="24"/>
      <c r="L84" s="55"/>
    </row>
    <row r="85">
      <c r="B85" s="55"/>
      <c r="C85" s="24"/>
      <c r="F85" s="24"/>
      <c r="H85" s="24"/>
      <c r="I85" s="24"/>
      <c r="J85" s="24"/>
      <c r="L85" s="55"/>
    </row>
    <row r="86">
      <c r="B86" s="55"/>
      <c r="C86" s="24"/>
      <c r="F86" s="24"/>
      <c r="H86" s="24"/>
      <c r="I86" s="24"/>
      <c r="J86" s="24"/>
      <c r="L86" s="55"/>
    </row>
    <row r="87">
      <c r="B87" s="55"/>
      <c r="C87" s="24"/>
      <c r="F87" s="24"/>
      <c r="H87" s="24"/>
      <c r="I87" s="24"/>
      <c r="J87" s="24"/>
      <c r="L87" s="55"/>
    </row>
    <row r="88">
      <c r="B88" s="55"/>
      <c r="C88" s="24"/>
      <c r="F88" s="24"/>
      <c r="H88" s="24"/>
      <c r="I88" s="24"/>
      <c r="J88" s="24"/>
      <c r="L88" s="55"/>
    </row>
    <row r="89">
      <c r="B89" s="55"/>
      <c r="C89" s="24"/>
      <c r="F89" s="24"/>
      <c r="H89" s="24"/>
      <c r="I89" s="24"/>
      <c r="J89" s="24"/>
      <c r="L89" s="55"/>
    </row>
    <row r="90">
      <c r="B90" s="55"/>
      <c r="C90" s="24"/>
      <c r="F90" s="24"/>
      <c r="H90" s="24"/>
      <c r="I90" s="24"/>
      <c r="J90" s="24"/>
      <c r="L90" s="55"/>
    </row>
    <row r="91">
      <c r="B91" s="55"/>
      <c r="C91" s="24"/>
      <c r="F91" s="24"/>
      <c r="H91" s="24"/>
      <c r="I91" s="24"/>
      <c r="J91" s="24"/>
      <c r="L91" s="55"/>
    </row>
    <row r="92">
      <c r="B92" s="55"/>
      <c r="C92" s="24"/>
      <c r="F92" s="24"/>
      <c r="H92" s="24"/>
      <c r="I92" s="24"/>
      <c r="J92" s="24"/>
      <c r="L92" s="55"/>
    </row>
    <row r="93">
      <c r="B93" s="55"/>
      <c r="C93" s="24"/>
      <c r="F93" s="24"/>
      <c r="H93" s="24"/>
      <c r="I93" s="24"/>
      <c r="J93" s="24"/>
      <c r="L93" s="55"/>
    </row>
    <row r="94">
      <c r="B94" s="55"/>
      <c r="C94" s="24"/>
      <c r="F94" s="24"/>
      <c r="H94" s="24"/>
      <c r="I94" s="24"/>
      <c r="J94" s="24"/>
      <c r="L94" s="55"/>
    </row>
    <row r="95">
      <c r="B95" s="55"/>
      <c r="C95" s="24"/>
      <c r="F95" s="24"/>
      <c r="H95" s="24"/>
      <c r="I95" s="24"/>
      <c r="J95" s="24"/>
      <c r="L95" s="55"/>
    </row>
    <row r="96">
      <c r="B96" s="55"/>
      <c r="C96" s="24"/>
      <c r="F96" s="24"/>
      <c r="H96" s="24"/>
      <c r="I96" s="24"/>
      <c r="J96" s="24"/>
      <c r="L96" s="55"/>
    </row>
    <row r="97">
      <c r="B97" s="55"/>
      <c r="C97" s="24"/>
      <c r="F97" s="24"/>
      <c r="H97" s="24"/>
      <c r="I97" s="24"/>
      <c r="J97" s="24"/>
      <c r="L97" s="55"/>
    </row>
    <row r="98">
      <c r="B98" s="55"/>
      <c r="C98" s="24"/>
      <c r="F98" s="24"/>
      <c r="H98" s="24"/>
      <c r="I98" s="24"/>
      <c r="J98" s="24"/>
      <c r="L98" s="55"/>
    </row>
    <row r="99">
      <c r="B99" s="55"/>
      <c r="C99" s="24"/>
      <c r="F99" s="24"/>
      <c r="H99" s="24"/>
      <c r="I99" s="24"/>
      <c r="J99" s="24"/>
      <c r="L99" s="55"/>
    </row>
    <row r="100">
      <c r="B100" s="55"/>
      <c r="C100" s="24"/>
      <c r="F100" s="24"/>
      <c r="H100" s="24"/>
      <c r="I100" s="24"/>
      <c r="J100" s="24"/>
      <c r="L100" s="55"/>
    </row>
    <row r="101">
      <c r="B101" s="55"/>
      <c r="C101" s="24"/>
      <c r="F101" s="24"/>
      <c r="H101" s="24"/>
      <c r="I101" s="24"/>
      <c r="J101" s="24"/>
      <c r="L101" s="55"/>
    </row>
    <row r="102">
      <c r="B102" s="55"/>
      <c r="C102" s="24"/>
      <c r="F102" s="24"/>
      <c r="H102" s="24"/>
      <c r="I102" s="24"/>
      <c r="J102" s="24"/>
      <c r="L102" s="55"/>
    </row>
    <row r="103">
      <c r="B103" s="55"/>
      <c r="C103" s="24"/>
      <c r="F103" s="24"/>
      <c r="H103" s="24"/>
      <c r="I103" s="24"/>
      <c r="J103" s="24"/>
      <c r="L103" s="55"/>
    </row>
    <row r="104">
      <c r="B104" s="55"/>
      <c r="C104" s="24"/>
      <c r="F104" s="24"/>
      <c r="H104" s="24"/>
      <c r="I104" s="24"/>
      <c r="J104" s="24"/>
      <c r="L104" s="55"/>
    </row>
    <row r="105">
      <c r="B105" s="55"/>
      <c r="C105" s="24"/>
      <c r="F105" s="24"/>
      <c r="H105" s="24"/>
      <c r="I105" s="24"/>
      <c r="J105" s="24"/>
      <c r="L105" s="55"/>
    </row>
    <row r="106">
      <c r="B106" s="55"/>
      <c r="C106" s="24"/>
      <c r="F106" s="24"/>
      <c r="H106" s="24"/>
      <c r="I106" s="24"/>
      <c r="J106" s="24"/>
      <c r="L106" s="55"/>
    </row>
    <row r="107">
      <c r="B107" s="55"/>
      <c r="C107" s="24"/>
      <c r="F107" s="24"/>
      <c r="H107" s="24"/>
      <c r="I107" s="24"/>
      <c r="J107" s="24"/>
      <c r="L107" s="55"/>
    </row>
    <row r="108">
      <c r="B108" s="55"/>
      <c r="C108" s="24"/>
      <c r="F108" s="24"/>
      <c r="H108" s="24"/>
      <c r="I108" s="24"/>
      <c r="J108" s="24"/>
      <c r="L108" s="55"/>
    </row>
    <row r="109">
      <c r="B109" s="55"/>
      <c r="C109" s="24"/>
      <c r="F109" s="24"/>
      <c r="H109" s="24"/>
      <c r="I109" s="24"/>
      <c r="J109" s="24"/>
      <c r="L109" s="55"/>
    </row>
    <row r="110">
      <c r="B110" s="55"/>
      <c r="C110" s="24"/>
      <c r="F110" s="24"/>
      <c r="H110" s="24"/>
      <c r="I110" s="24"/>
      <c r="J110" s="24"/>
      <c r="L110" s="55"/>
    </row>
    <row r="111">
      <c r="B111" s="55"/>
      <c r="C111" s="24"/>
      <c r="F111" s="24"/>
      <c r="H111" s="24"/>
      <c r="I111" s="24"/>
      <c r="J111" s="24"/>
      <c r="L111" s="55"/>
    </row>
    <row r="112">
      <c r="B112" s="55"/>
      <c r="C112" s="24"/>
      <c r="F112" s="24"/>
      <c r="H112" s="24"/>
      <c r="I112" s="24"/>
      <c r="J112" s="24"/>
      <c r="L112" s="55"/>
    </row>
    <row r="113">
      <c r="B113" s="55"/>
      <c r="C113" s="24"/>
      <c r="F113" s="24"/>
      <c r="H113" s="24"/>
      <c r="I113" s="24"/>
      <c r="J113" s="24"/>
      <c r="L113" s="55"/>
    </row>
    <row r="114">
      <c r="B114" s="55"/>
      <c r="C114" s="24"/>
      <c r="F114" s="24"/>
      <c r="H114" s="24"/>
      <c r="I114" s="24"/>
      <c r="J114" s="24"/>
      <c r="L114" s="55"/>
    </row>
    <row r="115">
      <c r="B115" s="55"/>
      <c r="C115" s="24"/>
      <c r="F115" s="24"/>
      <c r="H115" s="24"/>
      <c r="I115" s="24"/>
      <c r="J115" s="24"/>
      <c r="L115" s="55"/>
    </row>
    <row r="116">
      <c r="B116" s="55"/>
      <c r="C116" s="24"/>
      <c r="F116" s="24"/>
      <c r="H116" s="24"/>
      <c r="I116" s="24"/>
      <c r="J116" s="24"/>
      <c r="L116" s="55"/>
    </row>
    <row r="117">
      <c r="B117" s="55"/>
      <c r="C117" s="24"/>
      <c r="F117" s="24"/>
      <c r="H117" s="24"/>
      <c r="I117" s="24"/>
      <c r="J117" s="24"/>
      <c r="L117" s="55"/>
    </row>
    <row r="118">
      <c r="B118" s="55"/>
      <c r="C118" s="24"/>
      <c r="F118" s="24"/>
      <c r="H118" s="24"/>
      <c r="I118" s="24"/>
      <c r="J118" s="24"/>
      <c r="L118" s="55"/>
    </row>
    <row r="119">
      <c r="B119" s="55"/>
      <c r="C119" s="24"/>
      <c r="F119" s="24"/>
      <c r="H119" s="24"/>
      <c r="I119" s="24"/>
      <c r="J119" s="24"/>
      <c r="L119" s="55"/>
    </row>
    <row r="120">
      <c r="B120" s="55"/>
      <c r="C120" s="24"/>
      <c r="F120" s="24"/>
      <c r="H120" s="24"/>
      <c r="I120" s="24"/>
      <c r="J120" s="24"/>
      <c r="L120" s="55"/>
    </row>
    <row r="121">
      <c r="B121" s="55"/>
      <c r="C121" s="24"/>
      <c r="F121" s="24"/>
      <c r="H121" s="24"/>
      <c r="I121" s="24"/>
      <c r="J121" s="24"/>
      <c r="L121" s="55"/>
    </row>
    <row r="122">
      <c r="B122" s="55"/>
      <c r="C122" s="24"/>
      <c r="F122" s="24"/>
      <c r="H122" s="24"/>
      <c r="I122" s="24"/>
      <c r="J122" s="24"/>
      <c r="L122" s="55"/>
    </row>
    <row r="123">
      <c r="B123" s="55"/>
      <c r="C123" s="24"/>
      <c r="F123" s="24"/>
      <c r="H123" s="24"/>
      <c r="I123" s="24"/>
      <c r="J123" s="24"/>
      <c r="L123" s="55"/>
    </row>
    <row r="124">
      <c r="B124" s="55"/>
      <c r="C124" s="24"/>
      <c r="F124" s="24"/>
      <c r="H124" s="24"/>
      <c r="I124" s="24"/>
      <c r="J124" s="24"/>
      <c r="L124" s="55"/>
    </row>
    <row r="125">
      <c r="B125" s="55"/>
      <c r="C125" s="24"/>
      <c r="F125" s="24"/>
      <c r="H125" s="24"/>
      <c r="I125" s="24"/>
      <c r="J125" s="24"/>
      <c r="L125" s="55"/>
    </row>
    <row r="126">
      <c r="B126" s="55"/>
      <c r="C126" s="24"/>
      <c r="F126" s="24"/>
      <c r="H126" s="24"/>
      <c r="I126" s="24"/>
      <c r="J126" s="24"/>
      <c r="L126" s="55"/>
    </row>
    <row r="127">
      <c r="B127" s="55"/>
      <c r="C127" s="24"/>
      <c r="F127" s="24"/>
      <c r="H127" s="24"/>
      <c r="I127" s="24"/>
      <c r="J127" s="24"/>
      <c r="L127" s="55"/>
    </row>
    <row r="128">
      <c r="B128" s="55"/>
      <c r="C128" s="24"/>
      <c r="F128" s="24"/>
      <c r="H128" s="24"/>
      <c r="I128" s="24"/>
      <c r="J128" s="24"/>
      <c r="L128" s="55"/>
    </row>
    <row r="129">
      <c r="B129" s="55"/>
      <c r="C129" s="24"/>
      <c r="F129" s="24"/>
      <c r="H129" s="24"/>
      <c r="I129" s="24"/>
      <c r="J129" s="24"/>
      <c r="L129" s="55"/>
    </row>
    <row r="130">
      <c r="B130" s="55"/>
      <c r="C130" s="24"/>
      <c r="F130" s="24"/>
      <c r="H130" s="24"/>
      <c r="I130" s="24"/>
      <c r="J130" s="24"/>
      <c r="L130" s="55"/>
    </row>
    <row r="131">
      <c r="B131" s="55"/>
      <c r="C131" s="24"/>
      <c r="F131" s="24"/>
      <c r="H131" s="24"/>
      <c r="I131" s="24"/>
      <c r="J131" s="24"/>
      <c r="L131" s="55"/>
    </row>
    <row r="132">
      <c r="B132" s="55"/>
      <c r="C132" s="24"/>
      <c r="F132" s="24"/>
      <c r="H132" s="24"/>
      <c r="I132" s="24"/>
      <c r="J132" s="24"/>
      <c r="L132" s="55"/>
    </row>
    <row r="133">
      <c r="B133" s="55"/>
      <c r="C133" s="24"/>
      <c r="F133" s="24"/>
      <c r="H133" s="24"/>
      <c r="I133" s="24"/>
      <c r="J133" s="24"/>
      <c r="L133" s="55"/>
    </row>
    <row r="134">
      <c r="B134" s="55"/>
      <c r="C134" s="24"/>
      <c r="F134" s="24"/>
      <c r="H134" s="24"/>
      <c r="I134" s="24"/>
      <c r="J134" s="24"/>
      <c r="L134" s="55"/>
    </row>
    <row r="135">
      <c r="B135" s="55"/>
      <c r="C135" s="24"/>
      <c r="F135" s="24"/>
      <c r="H135" s="24"/>
      <c r="I135" s="24"/>
      <c r="J135" s="24"/>
      <c r="L135" s="55"/>
    </row>
    <row r="136">
      <c r="B136" s="55"/>
      <c r="C136" s="24"/>
      <c r="F136" s="24"/>
      <c r="H136" s="24"/>
      <c r="I136" s="24"/>
      <c r="J136" s="24"/>
      <c r="L136" s="55"/>
    </row>
    <row r="137">
      <c r="B137" s="55"/>
      <c r="C137" s="24"/>
      <c r="F137" s="24"/>
      <c r="H137" s="24"/>
      <c r="I137" s="24"/>
      <c r="J137" s="24"/>
      <c r="L137" s="55"/>
    </row>
    <row r="138">
      <c r="B138" s="55"/>
      <c r="C138" s="24"/>
      <c r="F138" s="24"/>
      <c r="H138" s="24"/>
      <c r="I138" s="24"/>
      <c r="J138" s="24"/>
      <c r="L138" s="55"/>
    </row>
    <row r="139">
      <c r="B139" s="55"/>
      <c r="C139" s="24"/>
      <c r="F139" s="24"/>
      <c r="H139" s="24"/>
      <c r="I139" s="24"/>
      <c r="J139" s="24"/>
      <c r="L139" s="55"/>
    </row>
    <row r="140">
      <c r="B140" s="55"/>
      <c r="C140" s="24"/>
      <c r="F140" s="24"/>
      <c r="H140" s="24"/>
      <c r="I140" s="24"/>
      <c r="J140" s="24"/>
      <c r="L140" s="55"/>
    </row>
    <row r="141">
      <c r="B141" s="55"/>
      <c r="C141" s="24"/>
      <c r="F141" s="24"/>
      <c r="H141" s="24"/>
      <c r="I141" s="24"/>
      <c r="J141" s="24"/>
      <c r="L141" s="55"/>
    </row>
    <row r="142">
      <c r="B142" s="55"/>
      <c r="C142" s="24"/>
      <c r="F142" s="24"/>
      <c r="H142" s="24"/>
      <c r="I142" s="24"/>
      <c r="J142" s="24"/>
      <c r="L142" s="55"/>
    </row>
    <row r="143">
      <c r="B143" s="55"/>
      <c r="C143" s="24"/>
      <c r="F143" s="24"/>
      <c r="H143" s="24"/>
      <c r="I143" s="24"/>
      <c r="J143" s="24"/>
      <c r="L143" s="55"/>
    </row>
    <row r="144">
      <c r="B144" s="55"/>
      <c r="C144" s="24"/>
      <c r="F144" s="24"/>
      <c r="H144" s="24"/>
      <c r="I144" s="24"/>
      <c r="J144" s="24"/>
      <c r="L144" s="55"/>
    </row>
    <row r="145">
      <c r="B145" s="55"/>
      <c r="C145" s="24"/>
      <c r="F145" s="24"/>
      <c r="H145" s="24"/>
      <c r="I145" s="24"/>
      <c r="J145" s="24"/>
      <c r="L145" s="55"/>
    </row>
    <row r="146">
      <c r="B146" s="55"/>
      <c r="C146" s="24"/>
      <c r="F146" s="24"/>
      <c r="H146" s="24"/>
      <c r="I146" s="24"/>
      <c r="J146" s="24"/>
      <c r="L146" s="55"/>
    </row>
    <row r="147">
      <c r="B147" s="55"/>
      <c r="C147" s="24"/>
      <c r="F147" s="24"/>
      <c r="H147" s="24"/>
      <c r="I147" s="24"/>
      <c r="J147" s="24"/>
      <c r="L147" s="55"/>
    </row>
    <row r="148">
      <c r="B148" s="55"/>
      <c r="C148" s="24"/>
      <c r="F148" s="24"/>
      <c r="H148" s="24"/>
      <c r="I148" s="24"/>
      <c r="J148" s="24"/>
      <c r="L148" s="55"/>
    </row>
    <row r="149">
      <c r="B149" s="55"/>
      <c r="C149" s="24"/>
      <c r="F149" s="24"/>
      <c r="H149" s="24"/>
      <c r="I149" s="24"/>
      <c r="J149" s="24"/>
      <c r="L149" s="55"/>
    </row>
    <row r="150">
      <c r="B150" s="55"/>
      <c r="C150" s="24"/>
      <c r="F150" s="24"/>
      <c r="H150" s="24"/>
      <c r="I150" s="24"/>
      <c r="J150" s="24"/>
      <c r="L150" s="55"/>
    </row>
    <row r="151">
      <c r="B151" s="55"/>
      <c r="C151" s="24"/>
      <c r="F151" s="24"/>
      <c r="H151" s="24"/>
      <c r="I151" s="24"/>
      <c r="J151" s="24"/>
      <c r="L151" s="55"/>
    </row>
    <row r="152">
      <c r="B152" s="55"/>
      <c r="C152" s="24"/>
      <c r="F152" s="24"/>
      <c r="H152" s="24"/>
      <c r="I152" s="24"/>
      <c r="J152" s="24"/>
      <c r="L152" s="55"/>
    </row>
    <row r="153">
      <c r="B153" s="55"/>
      <c r="C153" s="24"/>
      <c r="F153" s="24"/>
      <c r="H153" s="24"/>
      <c r="I153" s="24"/>
      <c r="J153" s="24"/>
      <c r="L153" s="55"/>
    </row>
    <row r="154">
      <c r="B154" s="55"/>
      <c r="C154" s="24"/>
      <c r="F154" s="24"/>
      <c r="H154" s="24"/>
      <c r="I154" s="24"/>
      <c r="J154" s="24"/>
      <c r="L154" s="55"/>
    </row>
    <row r="155">
      <c r="B155" s="55"/>
      <c r="C155" s="24"/>
      <c r="F155" s="24"/>
      <c r="H155" s="24"/>
      <c r="I155" s="24"/>
      <c r="J155" s="24"/>
      <c r="L155" s="55"/>
    </row>
    <row r="156">
      <c r="B156" s="55"/>
      <c r="C156" s="24"/>
      <c r="F156" s="24"/>
      <c r="H156" s="24"/>
      <c r="I156" s="24"/>
      <c r="J156" s="24"/>
      <c r="L156" s="55"/>
    </row>
    <row r="157">
      <c r="B157" s="55"/>
      <c r="C157" s="24"/>
      <c r="F157" s="24"/>
      <c r="H157" s="24"/>
      <c r="I157" s="24"/>
      <c r="J157" s="24"/>
      <c r="L157" s="55"/>
    </row>
    <row r="158">
      <c r="B158" s="55"/>
      <c r="C158" s="24"/>
      <c r="F158" s="24"/>
      <c r="H158" s="24"/>
      <c r="I158" s="24"/>
      <c r="J158" s="24"/>
      <c r="L158" s="55"/>
    </row>
    <row r="159">
      <c r="B159" s="55"/>
      <c r="C159" s="24"/>
      <c r="F159" s="24"/>
      <c r="H159" s="24"/>
      <c r="I159" s="24"/>
      <c r="J159" s="24"/>
      <c r="L159" s="55"/>
    </row>
    <row r="160">
      <c r="B160" s="55"/>
      <c r="C160" s="24"/>
      <c r="F160" s="24"/>
      <c r="H160" s="24"/>
      <c r="I160" s="24"/>
      <c r="J160" s="24"/>
      <c r="L160" s="55"/>
    </row>
    <row r="161">
      <c r="B161" s="55"/>
      <c r="C161" s="24"/>
      <c r="F161" s="24"/>
      <c r="H161" s="24"/>
      <c r="I161" s="24"/>
      <c r="J161" s="24"/>
      <c r="L161" s="55"/>
    </row>
    <row r="162">
      <c r="B162" s="55"/>
      <c r="C162" s="24"/>
      <c r="F162" s="24"/>
      <c r="H162" s="24"/>
      <c r="I162" s="24"/>
      <c r="J162" s="24"/>
      <c r="L162" s="55"/>
    </row>
    <row r="163">
      <c r="B163" s="55"/>
      <c r="C163" s="24"/>
      <c r="F163" s="24"/>
      <c r="H163" s="24"/>
      <c r="I163" s="24"/>
      <c r="J163" s="24"/>
      <c r="L163" s="55"/>
    </row>
    <row r="164">
      <c r="B164" s="55"/>
      <c r="C164" s="24"/>
      <c r="F164" s="24"/>
      <c r="H164" s="24"/>
      <c r="I164" s="24"/>
      <c r="J164" s="24"/>
      <c r="L164" s="55"/>
    </row>
    <row r="165">
      <c r="B165" s="55"/>
      <c r="C165" s="24"/>
      <c r="F165" s="24"/>
      <c r="H165" s="24"/>
      <c r="I165" s="24"/>
      <c r="J165" s="24"/>
      <c r="L165" s="55"/>
    </row>
    <row r="166">
      <c r="B166" s="55"/>
      <c r="C166" s="24"/>
      <c r="F166" s="24"/>
      <c r="H166" s="24"/>
      <c r="I166" s="24"/>
      <c r="J166" s="24"/>
      <c r="L166" s="55"/>
    </row>
    <row r="167">
      <c r="B167" s="55"/>
      <c r="C167" s="24"/>
      <c r="F167" s="24"/>
      <c r="H167" s="24"/>
      <c r="I167" s="24"/>
      <c r="J167" s="24"/>
      <c r="L167" s="55"/>
    </row>
    <row r="168">
      <c r="B168" s="55"/>
      <c r="C168" s="24"/>
      <c r="F168" s="24"/>
      <c r="H168" s="24"/>
      <c r="I168" s="24"/>
      <c r="J168" s="24"/>
      <c r="L168" s="55"/>
    </row>
    <row r="169">
      <c r="B169" s="55"/>
      <c r="C169" s="24"/>
      <c r="F169" s="24"/>
      <c r="H169" s="24"/>
      <c r="I169" s="24"/>
      <c r="J169" s="24"/>
      <c r="L169" s="55"/>
    </row>
    <row r="170">
      <c r="B170" s="55"/>
      <c r="C170" s="24"/>
      <c r="F170" s="24"/>
      <c r="H170" s="24"/>
      <c r="I170" s="24"/>
      <c r="J170" s="24"/>
      <c r="L170" s="55"/>
    </row>
    <row r="171">
      <c r="B171" s="55"/>
      <c r="C171" s="24"/>
      <c r="F171" s="24"/>
      <c r="H171" s="24"/>
      <c r="I171" s="24"/>
      <c r="J171" s="24"/>
      <c r="L171" s="55"/>
    </row>
    <row r="172">
      <c r="B172" s="55"/>
      <c r="C172" s="24"/>
      <c r="F172" s="24"/>
      <c r="H172" s="24"/>
      <c r="I172" s="24"/>
      <c r="J172" s="24"/>
      <c r="L172" s="55"/>
    </row>
    <row r="173">
      <c r="B173" s="55"/>
      <c r="C173" s="24"/>
      <c r="F173" s="24"/>
      <c r="H173" s="24"/>
      <c r="I173" s="24"/>
      <c r="J173" s="24"/>
      <c r="L173" s="55"/>
    </row>
    <row r="174">
      <c r="B174" s="55"/>
      <c r="C174" s="24"/>
      <c r="F174" s="24"/>
      <c r="H174" s="24"/>
      <c r="I174" s="24"/>
      <c r="J174" s="24"/>
      <c r="L174" s="55"/>
    </row>
    <row r="175">
      <c r="B175" s="55"/>
      <c r="C175" s="24"/>
      <c r="F175" s="24"/>
      <c r="H175" s="24"/>
      <c r="I175" s="24"/>
      <c r="J175" s="24"/>
      <c r="L175" s="55"/>
    </row>
    <row r="176">
      <c r="B176" s="55"/>
      <c r="C176" s="24"/>
      <c r="F176" s="24"/>
      <c r="H176" s="24"/>
      <c r="I176" s="24"/>
      <c r="J176" s="24"/>
      <c r="L176" s="55"/>
    </row>
    <row r="177">
      <c r="B177" s="55"/>
      <c r="C177" s="24"/>
      <c r="F177" s="24"/>
      <c r="H177" s="24"/>
      <c r="I177" s="24"/>
      <c r="J177" s="24"/>
      <c r="L177" s="55"/>
    </row>
    <row r="178">
      <c r="B178" s="55"/>
      <c r="C178" s="24"/>
      <c r="F178" s="24"/>
      <c r="H178" s="24"/>
      <c r="I178" s="24"/>
      <c r="J178" s="24"/>
      <c r="L178" s="55"/>
    </row>
    <row r="179">
      <c r="B179" s="55"/>
      <c r="C179" s="24"/>
      <c r="F179" s="24"/>
      <c r="H179" s="24"/>
      <c r="I179" s="24"/>
      <c r="J179" s="24"/>
      <c r="L179" s="55"/>
    </row>
    <row r="180">
      <c r="B180" s="55"/>
      <c r="C180" s="24"/>
      <c r="F180" s="24"/>
      <c r="H180" s="24"/>
      <c r="I180" s="24"/>
      <c r="J180" s="24"/>
      <c r="L180" s="55"/>
    </row>
    <row r="181">
      <c r="B181" s="55"/>
      <c r="C181" s="24"/>
      <c r="F181" s="24"/>
      <c r="H181" s="24"/>
      <c r="I181" s="24"/>
      <c r="J181" s="24"/>
      <c r="L181" s="55"/>
    </row>
    <row r="182">
      <c r="B182" s="55"/>
      <c r="C182" s="24"/>
      <c r="F182" s="24"/>
      <c r="H182" s="24"/>
      <c r="I182" s="24"/>
      <c r="J182" s="24"/>
      <c r="L182" s="55"/>
    </row>
    <row r="183">
      <c r="B183" s="55"/>
      <c r="C183" s="24"/>
      <c r="F183" s="24"/>
      <c r="H183" s="24"/>
      <c r="I183" s="24"/>
      <c r="J183" s="24"/>
      <c r="L183" s="55"/>
    </row>
    <row r="184">
      <c r="B184" s="55"/>
      <c r="C184" s="24"/>
      <c r="F184" s="24"/>
      <c r="H184" s="24"/>
      <c r="I184" s="24"/>
      <c r="J184" s="24"/>
      <c r="L184" s="55"/>
    </row>
    <row r="185">
      <c r="B185" s="55"/>
      <c r="C185" s="24"/>
      <c r="F185" s="24"/>
      <c r="H185" s="24"/>
      <c r="I185" s="24"/>
      <c r="J185" s="24"/>
      <c r="L185" s="55"/>
    </row>
    <row r="186">
      <c r="B186" s="55"/>
      <c r="C186" s="24"/>
      <c r="F186" s="24"/>
      <c r="H186" s="24"/>
      <c r="I186" s="24"/>
      <c r="J186" s="24"/>
      <c r="L186" s="55"/>
    </row>
    <row r="187">
      <c r="B187" s="55"/>
      <c r="C187" s="24"/>
      <c r="F187" s="24"/>
      <c r="H187" s="24"/>
      <c r="I187" s="24"/>
      <c r="J187" s="24"/>
      <c r="L187" s="55"/>
    </row>
    <row r="188">
      <c r="B188" s="55"/>
      <c r="C188" s="24"/>
      <c r="F188" s="24"/>
      <c r="H188" s="24"/>
      <c r="I188" s="24"/>
      <c r="J188" s="24"/>
      <c r="L188" s="55"/>
    </row>
    <row r="189">
      <c r="B189" s="55"/>
      <c r="C189" s="24"/>
      <c r="F189" s="24"/>
      <c r="H189" s="24"/>
      <c r="I189" s="24"/>
      <c r="J189" s="24"/>
      <c r="L189" s="55"/>
    </row>
    <row r="190">
      <c r="B190" s="55"/>
      <c r="C190" s="24"/>
      <c r="F190" s="24"/>
      <c r="H190" s="24"/>
      <c r="I190" s="24"/>
      <c r="J190" s="24"/>
      <c r="L190" s="55"/>
    </row>
    <row r="191">
      <c r="B191" s="55"/>
      <c r="C191" s="24"/>
      <c r="F191" s="24"/>
      <c r="H191" s="24"/>
      <c r="I191" s="24"/>
      <c r="J191" s="24"/>
      <c r="L191" s="55"/>
    </row>
    <row r="192">
      <c r="B192" s="55"/>
      <c r="C192" s="24"/>
      <c r="F192" s="24"/>
      <c r="H192" s="24"/>
      <c r="I192" s="24"/>
      <c r="J192" s="24"/>
      <c r="L192" s="55"/>
    </row>
    <row r="193">
      <c r="B193" s="55"/>
      <c r="C193" s="24"/>
      <c r="F193" s="24"/>
      <c r="H193" s="24"/>
      <c r="I193" s="24"/>
      <c r="J193" s="24"/>
      <c r="L193" s="55"/>
    </row>
    <row r="194">
      <c r="B194" s="55"/>
      <c r="C194" s="24"/>
      <c r="F194" s="24"/>
      <c r="H194" s="24"/>
      <c r="I194" s="24"/>
      <c r="J194" s="24"/>
      <c r="L194" s="55"/>
    </row>
    <row r="195">
      <c r="B195" s="55"/>
      <c r="C195" s="24"/>
      <c r="F195" s="24"/>
      <c r="H195" s="24"/>
      <c r="I195" s="24"/>
      <c r="J195" s="24"/>
      <c r="L195" s="55"/>
    </row>
    <row r="196">
      <c r="B196" s="55"/>
      <c r="C196" s="24"/>
      <c r="F196" s="24"/>
      <c r="H196" s="24"/>
      <c r="I196" s="24"/>
      <c r="J196" s="24"/>
      <c r="L196" s="55"/>
    </row>
    <row r="197">
      <c r="B197" s="55"/>
      <c r="C197" s="24"/>
      <c r="F197" s="24"/>
      <c r="H197" s="24"/>
      <c r="I197" s="24"/>
      <c r="J197" s="24"/>
      <c r="L197" s="55"/>
    </row>
    <row r="198">
      <c r="B198" s="55"/>
      <c r="C198" s="24"/>
      <c r="F198" s="24"/>
      <c r="H198" s="24"/>
      <c r="I198" s="24"/>
      <c r="J198" s="24"/>
      <c r="L198" s="55"/>
    </row>
    <row r="199">
      <c r="B199" s="55"/>
      <c r="C199" s="24"/>
      <c r="F199" s="24"/>
      <c r="H199" s="24"/>
      <c r="I199" s="24"/>
      <c r="J199" s="24"/>
      <c r="L199" s="55"/>
    </row>
    <row r="200">
      <c r="B200" s="55"/>
      <c r="C200" s="24"/>
      <c r="F200" s="24"/>
      <c r="H200" s="24"/>
      <c r="I200" s="24"/>
      <c r="J200" s="24"/>
      <c r="L200" s="55"/>
    </row>
    <row r="201">
      <c r="B201" s="55"/>
      <c r="C201" s="24"/>
      <c r="F201" s="24"/>
      <c r="H201" s="24"/>
      <c r="I201" s="24"/>
      <c r="J201" s="24"/>
      <c r="L201" s="55"/>
    </row>
    <row r="202">
      <c r="B202" s="55"/>
      <c r="C202" s="24"/>
      <c r="F202" s="24"/>
      <c r="H202" s="24"/>
      <c r="I202" s="24"/>
      <c r="J202" s="24"/>
      <c r="L202" s="55"/>
    </row>
    <row r="203">
      <c r="B203" s="55"/>
      <c r="C203" s="24"/>
      <c r="F203" s="24"/>
      <c r="H203" s="24"/>
      <c r="I203" s="24"/>
      <c r="J203" s="24"/>
      <c r="L203" s="55"/>
    </row>
    <row r="204">
      <c r="B204" s="55"/>
      <c r="C204" s="24"/>
      <c r="F204" s="24"/>
      <c r="H204" s="24"/>
      <c r="I204" s="24"/>
      <c r="J204" s="24"/>
      <c r="L204" s="55"/>
    </row>
    <row r="205">
      <c r="B205" s="55"/>
      <c r="C205" s="24"/>
      <c r="F205" s="24"/>
      <c r="H205" s="24"/>
      <c r="I205" s="24"/>
      <c r="J205" s="24"/>
      <c r="L205" s="55"/>
    </row>
    <row r="206">
      <c r="B206" s="55"/>
      <c r="C206" s="24"/>
      <c r="F206" s="24"/>
      <c r="H206" s="24"/>
      <c r="I206" s="24"/>
      <c r="J206" s="24"/>
      <c r="L206" s="55"/>
    </row>
    <row r="207">
      <c r="B207" s="55"/>
      <c r="C207" s="24"/>
      <c r="F207" s="24"/>
      <c r="H207" s="24"/>
      <c r="I207" s="24"/>
      <c r="J207" s="24"/>
      <c r="L207" s="55"/>
    </row>
    <row r="208">
      <c r="B208" s="55"/>
      <c r="C208" s="24"/>
      <c r="F208" s="24"/>
      <c r="H208" s="24"/>
      <c r="I208" s="24"/>
      <c r="J208" s="24"/>
      <c r="L208" s="55"/>
    </row>
    <row r="209">
      <c r="B209" s="55"/>
      <c r="C209" s="24"/>
      <c r="F209" s="24"/>
      <c r="H209" s="24"/>
      <c r="I209" s="24"/>
      <c r="J209" s="24"/>
      <c r="L209" s="55"/>
    </row>
    <row r="210">
      <c r="B210" s="55"/>
      <c r="C210" s="24"/>
      <c r="F210" s="24"/>
      <c r="H210" s="24"/>
      <c r="I210" s="24"/>
      <c r="J210" s="24"/>
      <c r="L210" s="55"/>
    </row>
    <row r="211">
      <c r="B211" s="55"/>
      <c r="C211" s="24"/>
      <c r="F211" s="24"/>
      <c r="H211" s="24"/>
      <c r="I211" s="24"/>
      <c r="J211" s="24"/>
      <c r="L211" s="55"/>
    </row>
    <row r="212">
      <c r="B212" s="55"/>
      <c r="C212" s="24"/>
      <c r="F212" s="24"/>
      <c r="H212" s="24"/>
      <c r="I212" s="24"/>
      <c r="J212" s="24"/>
      <c r="L212" s="55"/>
    </row>
    <row r="213">
      <c r="B213" s="55"/>
      <c r="C213" s="24"/>
      <c r="F213" s="24"/>
      <c r="H213" s="24"/>
      <c r="I213" s="24"/>
      <c r="J213" s="24"/>
      <c r="L213" s="55"/>
    </row>
    <row r="214">
      <c r="B214" s="55"/>
      <c r="C214" s="24"/>
      <c r="F214" s="24"/>
      <c r="H214" s="24"/>
      <c r="I214" s="24"/>
      <c r="J214" s="24"/>
      <c r="L214" s="55"/>
    </row>
    <row r="215">
      <c r="B215" s="55"/>
      <c r="C215" s="24"/>
      <c r="F215" s="24"/>
      <c r="H215" s="24"/>
      <c r="I215" s="24"/>
      <c r="J215" s="24"/>
      <c r="L215" s="55"/>
    </row>
    <row r="216">
      <c r="B216" s="55"/>
      <c r="C216" s="24"/>
      <c r="F216" s="24"/>
      <c r="H216" s="24"/>
      <c r="I216" s="24"/>
      <c r="J216" s="24"/>
      <c r="L216" s="55"/>
    </row>
    <row r="217">
      <c r="B217" s="55"/>
      <c r="C217" s="24"/>
      <c r="F217" s="24"/>
      <c r="H217" s="24"/>
      <c r="I217" s="24"/>
      <c r="J217" s="24"/>
      <c r="L217" s="55"/>
    </row>
    <row r="218">
      <c r="B218" s="55"/>
      <c r="C218" s="24"/>
      <c r="F218" s="24"/>
      <c r="H218" s="24"/>
      <c r="I218" s="24"/>
      <c r="J218" s="24"/>
      <c r="L218" s="55"/>
    </row>
    <row r="219">
      <c r="B219" s="55"/>
      <c r="C219" s="24"/>
      <c r="F219" s="24"/>
      <c r="H219" s="24"/>
      <c r="I219" s="24"/>
      <c r="J219" s="24"/>
      <c r="L219" s="55"/>
    </row>
    <row r="220">
      <c r="B220" s="55"/>
      <c r="C220" s="24"/>
      <c r="F220" s="24"/>
      <c r="H220" s="24"/>
      <c r="I220" s="24"/>
      <c r="J220" s="24"/>
      <c r="L220" s="55"/>
    </row>
    <row r="221">
      <c r="B221" s="55"/>
      <c r="C221" s="24"/>
      <c r="F221" s="24"/>
      <c r="H221" s="24"/>
      <c r="I221" s="24"/>
      <c r="J221" s="24"/>
      <c r="L221" s="55"/>
    </row>
    <row r="222">
      <c r="B222" s="55"/>
      <c r="C222" s="24"/>
      <c r="F222" s="24"/>
      <c r="H222" s="24"/>
      <c r="I222" s="24"/>
      <c r="J222" s="24"/>
      <c r="L222" s="55"/>
    </row>
    <row r="223">
      <c r="B223" s="55"/>
      <c r="C223" s="24"/>
      <c r="F223" s="24"/>
      <c r="H223" s="24"/>
      <c r="I223" s="24"/>
      <c r="J223" s="24"/>
      <c r="L223" s="55"/>
    </row>
    <row r="224">
      <c r="B224" s="55"/>
      <c r="C224" s="24"/>
      <c r="F224" s="24"/>
      <c r="H224" s="24"/>
      <c r="I224" s="24"/>
      <c r="J224" s="24"/>
      <c r="L224" s="55"/>
    </row>
    <row r="225">
      <c r="B225" s="55"/>
      <c r="C225" s="24"/>
      <c r="F225" s="24"/>
      <c r="H225" s="24"/>
      <c r="I225" s="24"/>
      <c r="J225" s="24"/>
      <c r="L225" s="55"/>
    </row>
    <row r="226">
      <c r="B226" s="55"/>
      <c r="C226" s="24"/>
      <c r="F226" s="24"/>
      <c r="H226" s="24"/>
      <c r="I226" s="24"/>
      <c r="J226" s="24"/>
      <c r="L226" s="55"/>
    </row>
    <row r="227">
      <c r="B227" s="55"/>
      <c r="C227" s="24"/>
      <c r="F227" s="24"/>
      <c r="H227" s="24"/>
      <c r="I227" s="24"/>
      <c r="J227" s="24"/>
      <c r="L227" s="55"/>
    </row>
    <row r="228">
      <c r="B228" s="55"/>
      <c r="C228" s="24"/>
      <c r="F228" s="24"/>
      <c r="H228" s="24"/>
      <c r="I228" s="24"/>
      <c r="J228" s="24"/>
      <c r="L228" s="55"/>
    </row>
    <row r="229">
      <c r="B229" s="55"/>
      <c r="C229" s="24"/>
      <c r="F229" s="24"/>
      <c r="H229" s="24"/>
      <c r="I229" s="24"/>
      <c r="J229" s="24"/>
      <c r="L229" s="55"/>
    </row>
    <row r="230">
      <c r="B230" s="55"/>
      <c r="C230" s="24"/>
      <c r="F230" s="24"/>
      <c r="H230" s="24"/>
      <c r="I230" s="24"/>
      <c r="J230" s="24"/>
      <c r="L230" s="55"/>
    </row>
    <row r="231">
      <c r="B231" s="55"/>
      <c r="C231" s="24"/>
      <c r="F231" s="24"/>
      <c r="H231" s="24"/>
      <c r="I231" s="24"/>
      <c r="J231" s="24"/>
      <c r="L231" s="55"/>
    </row>
    <row r="232">
      <c r="B232" s="55"/>
      <c r="C232" s="24"/>
      <c r="F232" s="24"/>
      <c r="H232" s="24"/>
      <c r="I232" s="24"/>
      <c r="J232" s="24"/>
      <c r="L232" s="55"/>
    </row>
    <row r="233">
      <c r="B233" s="55"/>
      <c r="C233" s="24"/>
      <c r="F233" s="24"/>
      <c r="H233" s="24"/>
      <c r="I233" s="24"/>
      <c r="J233" s="24"/>
      <c r="L233" s="55"/>
    </row>
    <row r="234">
      <c r="B234" s="55"/>
      <c r="C234" s="24"/>
      <c r="F234" s="24"/>
      <c r="H234" s="24"/>
      <c r="I234" s="24"/>
      <c r="J234" s="24"/>
      <c r="L234" s="55"/>
    </row>
    <row r="235">
      <c r="B235" s="55"/>
      <c r="C235" s="24"/>
      <c r="F235" s="24"/>
      <c r="H235" s="24"/>
      <c r="I235" s="24"/>
      <c r="J235" s="24"/>
      <c r="L235" s="55"/>
    </row>
    <row r="236">
      <c r="B236" s="55"/>
      <c r="C236" s="24"/>
      <c r="F236" s="24"/>
      <c r="H236" s="24"/>
      <c r="I236" s="24"/>
      <c r="J236" s="24"/>
      <c r="L236" s="55"/>
    </row>
    <row r="237">
      <c r="B237" s="55"/>
      <c r="C237" s="24"/>
      <c r="F237" s="24"/>
      <c r="H237" s="24"/>
      <c r="I237" s="24"/>
      <c r="J237" s="24"/>
      <c r="L237" s="55"/>
    </row>
    <row r="238">
      <c r="B238" s="55"/>
      <c r="C238" s="24"/>
      <c r="F238" s="24"/>
      <c r="H238" s="24"/>
      <c r="I238" s="24"/>
      <c r="J238" s="24"/>
      <c r="L238" s="55"/>
    </row>
    <row r="239">
      <c r="B239" s="55"/>
      <c r="C239" s="24"/>
      <c r="F239" s="24"/>
      <c r="H239" s="24"/>
      <c r="I239" s="24"/>
      <c r="J239" s="24"/>
      <c r="L239" s="55"/>
    </row>
    <row r="240">
      <c r="B240" s="55"/>
      <c r="C240" s="24"/>
      <c r="F240" s="24"/>
      <c r="H240" s="24"/>
      <c r="I240" s="24"/>
      <c r="J240" s="24"/>
      <c r="L240" s="55"/>
    </row>
    <row r="241">
      <c r="B241" s="55"/>
      <c r="C241" s="24"/>
      <c r="F241" s="24"/>
      <c r="H241" s="24"/>
      <c r="I241" s="24"/>
      <c r="J241" s="24"/>
      <c r="L241" s="55"/>
    </row>
    <row r="242">
      <c r="B242" s="55"/>
      <c r="C242" s="24"/>
      <c r="F242" s="24"/>
      <c r="H242" s="24"/>
      <c r="I242" s="24"/>
      <c r="J242" s="24"/>
      <c r="L242" s="55"/>
    </row>
    <row r="243">
      <c r="B243" s="55"/>
      <c r="C243" s="24"/>
      <c r="F243" s="24"/>
      <c r="H243" s="24"/>
      <c r="I243" s="24"/>
      <c r="J243" s="24"/>
      <c r="L243" s="55"/>
    </row>
    <row r="244">
      <c r="B244" s="55"/>
      <c r="C244" s="24"/>
      <c r="F244" s="24"/>
      <c r="H244" s="24"/>
      <c r="I244" s="24"/>
      <c r="J244" s="24"/>
      <c r="L244" s="55"/>
    </row>
    <row r="245">
      <c r="B245" s="55"/>
      <c r="C245" s="24"/>
      <c r="F245" s="24"/>
      <c r="H245" s="24"/>
      <c r="I245" s="24"/>
      <c r="J245" s="24"/>
      <c r="L245" s="55"/>
    </row>
    <row r="246">
      <c r="B246" s="55"/>
      <c r="C246" s="24"/>
      <c r="F246" s="24"/>
      <c r="H246" s="24"/>
      <c r="I246" s="24"/>
      <c r="J246" s="24"/>
      <c r="L246" s="55"/>
    </row>
    <row r="247">
      <c r="B247" s="55"/>
      <c r="C247" s="24"/>
      <c r="F247" s="24"/>
      <c r="H247" s="24"/>
      <c r="I247" s="24"/>
      <c r="J247" s="24"/>
      <c r="L247" s="55"/>
    </row>
    <row r="248">
      <c r="B248" s="55"/>
      <c r="C248" s="24"/>
      <c r="F248" s="24"/>
      <c r="H248" s="24"/>
      <c r="I248" s="24"/>
      <c r="J248" s="24"/>
      <c r="L248" s="55"/>
    </row>
    <row r="249">
      <c r="B249" s="55"/>
      <c r="C249" s="24"/>
      <c r="F249" s="24"/>
      <c r="H249" s="24"/>
      <c r="I249" s="24"/>
      <c r="J249" s="24"/>
      <c r="L249" s="55"/>
    </row>
    <row r="250">
      <c r="B250" s="55"/>
      <c r="C250" s="24"/>
      <c r="F250" s="24"/>
      <c r="H250" s="24"/>
      <c r="I250" s="24"/>
      <c r="J250" s="24"/>
      <c r="L250" s="55"/>
    </row>
    <row r="251">
      <c r="B251" s="55"/>
      <c r="C251" s="24"/>
      <c r="F251" s="24"/>
      <c r="H251" s="24"/>
      <c r="I251" s="24"/>
      <c r="J251" s="24"/>
      <c r="L251" s="55"/>
    </row>
    <row r="252">
      <c r="B252" s="55"/>
      <c r="C252" s="24"/>
      <c r="F252" s="24"/>
      <c r="H252" s="24"/>
      <c r="I252" s="24"/>
      <c r="J252" s="24"/>
      <c r="L252" s="55"/>
    </row>
    <row r="253">
      <c r="B253" s="55"/>
      <c r="C253" s="24"/>
      <c r="F253" s="24"/>
      <c r="H253" s="24"/>
      <c r="I253" s="24"/>
      <c r="J253" s="24"/>
      <c r="L253" s="55"/>
    </row>
    <row r="254">
      <c r="B254" s="55"/>
      <c r="C254" s="24"/>
      <c r="F254" s="24"/>
      <c r="H254" s="24"/>
      <c r="I254" s="24"/>
      <c r="J254" s="24"/>
      <c r="L254" s="55"/>
    </row>
    <row r="255">
      <c r="B255" s="55"/>
      <c r="C255" s="24"/>
      <c r="F255" s="24"/>
      <c r="H255" s="24"/>
      <c r="I255" s="24"/>
      <c r="J255" s="24"/>
      <c r="L255" s="55"/>
    </row>
    <row r="256">
      <c r="B256" s="55"/>
      <c r="C256" s="24"/>
      <c r="F256" s="24"/>
      <c r="H256" s="24"/>
      <c r="I256" s="24"/>
      <c r="J256" s="24"/>
      <c r="L256" s="55"/>
    </row>
    <row r="257">
      <c r="B257" s="55"/>
      <c r="C257" s="24"/>
      <c r="F257" s="24"/>
      <c r="H257" s="24"/>
      <c r="I257" s="24"/>
      <c r="J257" s="24"/>
      <c r="L257" s="55"/>
    </row>
    <row r="258">
      <c r="B258" s="55"/>
      <c r="C258" s="24"/>
      <c r="F258" s="24"/>
      <c r="H258" s="24"/>
      <c r="I258" s="24"/>
      <c r="J258" s="24"/>
      <c r="L258" s="55"/>
    </row>
    <row r="259">
      <c r="B259" s="55"/>
      <c r="C259" s="24"/>
      <c r="F259" s="24"/>
      <c r="H259" s="24"/>
      <c r="I259" s="24"/>
      <c r="J259" s="24"/>
      <c r="L259" s="55"/>
    </row>
    <row r="260">
      <c r="B260" s="55"/>
      <c r="C260" s="24"/>
      <c r="F260" s="24"/>
      <c r="H260" s="24"/>
      <c r="I260" s="24"/>
      <c r="J260" s="24"/>
      <c r="L260" s="55"/>
    </row>
    <row r="261">
      <c r="B261" s="55"/>
      <c r="C261" s="24"/>
      <c r="F261" s="24"/>
      <c r="H261" s="24"/>
      <c r="I261" s="24"/>
      <c r="J261" s="24"/>
      <c r="L261" s="55"/>
    </row>
    <row r="262">
      <c r="B262" s="55"/>
      <c r="C262" s="24"/>
      <c r="F262" s="24"/>
      <c r="H262" s="24"/>
      <c r="I262" s="24"/>
      <c r="J262" s="24"/>
      <c r="L262" s="55"/>
    </row>
    <row r="263">
      <c r="B263" s="55"/>
      <c r="C263" s="24"/>
      <c r="F263" s="24"/>
      <c r="H263" s="24"/>
      <c r="I263" s="24"/>
      <c r="J263" s="24"/>
      <c r="L263" s="55"/>
    </row>
    <row r="264">
      <c r="B264" s="55"/>
      <c r="C264" s="24"/>
      <c r="F264" s="24"/>
      <c r="H264" s="24"/>
      <c r="I264" s="24"/>
      <c r="J264" s="24"/>
      <c r="L264" s="55"/>
    </row>
    <row r="265">
      <c r="B265" s="55"/>
      <c r="C265" s="24"/>
      <c r="F265" s="24"/>
      <c r="H265" s="24"/>
      <c r="I265" s="24"/>
      <c r="J265" s="24"/>
      <c r="L265" s="55"/>
    </row>
    <row r="266">
      <c r="B266" s="55"/>
      <c r="C266" s="24"/>
      <c r="F266" s="24"/>
      <c r="H266" s="24"/>
      <c r="I266" s="24"/>
      <c r="J266" s="24"/>
      <c r="L266" s="55"/>
    </row>
    <row r="267">
      <c r="B267" s="55"/>
      <c r="C267" s="24"/>
      <c r="F267" s="24"/>
      <c r="H267" s="24"/>
      <c r="I267" s="24"/>
      <c r="J267" s="24"/>
      <c r="L267" s="55"/>
    </row>
    <row r="268">
      <c r="B268" s="55"/>
      <c r="C268" s="24"/>
      <c r="F268" s="24"/>
      <c r="H268" s="24"/>
      <c r="I268" s="24"/>
      <c r="J268" s="24"/>
      <c r="L268" s="55"/>
    </row>
    <row r="269">
      <c r="B269" s="55"/>
      <c r="C269" s="24"/>
      <c r="F269" s="24"/>
      <c r="H269" s="24"/>
      <c r="I269" s="24"/>
      <c r="J269" s="24"/>
      <c r="L269" s="55"/>
    </row>
    <row r="270">
      <c r="B270" s="55"/>
      <c r="C270" s="24"/>
      <c r="F270" s="24"/>
      <c r="H270" s="24"/>
      <c r="I270" s="24"/>
      <c r="J270" s="24"/>
      <c r="L270" s="55"/>
    </row>
    <row r="271">
      <c r="B271" s="55"/>
      <c r="C271" s="24"/>
      <c r="F271" s="24"/>
      <c r="H271" s="24"/>
      <c r="I271" s="24"/>
      <c r="J271" s="24"/>
      <c r="L271" s="55"/>
    </row>
    <row r="272">
      <c r="B272" s="55"/>
      <c r="C272" s="24"/>
      <c r="F272" s="24"/>
      <c r="H272" s="24"/>
      <c r="I272" s="24"/>
      <c r="J272" s="24"/>
      <c r="L272" s="55"/>
    </row>
    <row r="273">
      <c r="B273" s="55"/>
      <c r="C273" s="24"/>
      <c r="F273" s="24"/>
      <c r="H273" s="24"/>
      <c r="I273" s="24"/>
      <c r="J273" s="24"/>
      <c r="L273" s="55"/>
    </row>
    <row r="274">
      <c r="B274" s="55"/>
      <c r="C274" s="24"/>
      <c r="F274" s="24"/>
      <c r="H274" s="24"/>
      <c r="I274" s="24"/>
      <c r="J274" s="24"/>
      <c r="L274" s="55"/>
    </row>
    <row r="275">
      <c r="B275" s="55"/>
      <c r="C275" s="24"/>
      <c r="F275" s="24"/>
      <c r="H275" s="24"/>
      <c r="I275" s="24"/>
      <c r="J275" s="24"/>
      <c r="L275" s="55"/>
    </row>
    <row r="276">
      <c r="B276" s="55"/>
      <c r="C276" s="24"/>
      <c r="F276" s="24"/>
      <c r="H276" s="24"/>
      <c r="I276" s="24"/>
      <c r="J276" s="24"/>
      <c r="L276" s="55"/>
    </row>
    <row r="277">
      <c r="B277" s="55"/>
      <c r="C277" s="24"/>
      <c r="F277" s="24"/>
      <c r="H277" s="24"/>
      <c r="I277" s="24"/>
      <c r="J277" s="24"/>
      <c r="L277" s="55"/>
    </row>
    <row r="278">
      <c r="B278" s="55"/>
      <c r="C278" s="24"/>
      <c r="F278" s="24"/>
      <c r="H278" s="24"/>
      <c r="I278" s="24"/>
      <c r="J278" s="24"/>
      <c r="L278" s="55"/>
    </row>
    <row r="279">
      <c r="B279" s="55"/>
      <c r="C279" s="24"/>
      <c r="F279" s="24"/>
      <c r="H279" s="24"/>
      <c r="I279" s="24"/>
      <c r="J279" s="24"/>
      <c r="L279" s="55"/>
    </row>
    <row r="280">
      <c r="B280" s="55"/>
      <c r="C280" s="24"/>
      <c r="F280" s="24"/>
      <c r="H280" s="24"/>
      <c r="I280" s="24"/>
      <c r="J280" s="24"/>
      <c r="L280" s="55"/>
    </row>
    <row r="281">
      <c r="B281" s="55"/>
      <c r="C281" s="24"/>
      <c r="F281" s="24"/>
      <c r="H281" s="24"/>
      <c r="I281" s="24"/>
      <c r="J281" s="24"/>
      <c r="L281" s="55"/>
    </row>
    <row r="282">
      <c r="B282" s="55"/>
      <c r="C282" s="24"/>
      <c r="F282" s="24"/>
      <c r="H282" s="24"/>
      <c r="I282" s="24"/>
      <c r="J282" s="24"/>
      <c r="L282" s="55"/>
    </row>
    <row r="283">
      <c r="B283" s="55"/>
      <c r="C283" s="24"/>
      <c r="F283" s="24"/>
      <c r="H283" s="24"/>
      <c r="I283" s="24"/>
      <c r="J283" s="24"/>
      <c r="L283" s="55"/>
    </row>
    <row r="284">
      <c r="B284" s="55"/>
      <c r="C284" s="24"/>
      <c r="F284" s="24"/>
      <c r="H284" s="24"/>
      <c r="I284" s="24"/>
      <c r="J284" s="24"/>
      <c r="L284" s="55"/>
    </row>
    <row r="285">
      <c r="B285" s="55"/>
      <c r="C285" s="24"/>
      <c r="F285" s="24"/>
      <c r="H285" s="24"/>
      <c r="I285" s="24"/>
      <c r="J285" s="24"/>
      <c r="L285" s="55"/>
    </row>
    <row r="286">
      <c r="B286" s="55"/>
      <c r="C286" s="24"/>
      <c r="F286" s="24"/>
      <c r="H286" s="24"/>
      <c r="I286" s="24"/>
      <c r="J286" s="24"/>
      <c r="L286" s="55"/>
    </row>
    <row r="287">
      <c r="B287" s="55"/>
      <c r="C287" s="24"/>
      <c r="F287" s="24"/>
      <c r="H287" s="24"/>
      <c r="I287" s="24"/>
      <c r="J287" s="24"/>
      <c r="L287" s="55"/>
    </row>
    <row r="288">
      <c r="B288" s="55"/>
      <c r="C288" s="24"/>
      <c r="F288" s="24"/>
      <c r="H288" s="24"/>
      <c r="I288" s="24"/>
      <c r="J288" s="24"/>
      <c r="L288" s="55"/>
    </row>
    <row r="289">
      <c r="B289" s="55"/>
      <c r="C289" s="24"/>
      <c r="F289" s="24"/>
      <c r="H289" s="24"/>
      <c r="I289" s="24"/>
      <c r="J289" s="24"/>
      <c r="L289" s="55"/>
    </row>
    <row r="290">
      <c r="B290" s="55"/>
      <c r="C290" s="24"/>
      <c r="F290" s="24"/>
      <c r="H290" s="24"/>
      <c r="I290" s="24"/>
      <c r="J290" s="24"/>
      <c r="L290" s="55"/>
    </row>
    <row r="291">
      <c r="B291" s="55"/>
      <c r="C291" s="24"/>
      <c r="F291" s="24"/>
      <c r="H291" s="24"/>
      <c r="I291" s="24"/>
      <c r="J291" s="24"/>
      <c r="L291" s="55"/>
    </row>
    <row r="292">
      <c r="B292" s="55"/>
      <c r="C292" s="24"/>
      <c r="F292" s="24"/>
      <c r="H292" s="24"/>
      <c r="I292" s="24"/>
      <c r="J292" s="24"/>
      <c r="L292" s="55"/>
    </row>
    <row r="293">
      <c r="B293" s="55"/>
      <c r="C293" s="24"/>
      <c r="F293" s="24"/>
      <c r="H293" s="24"/>
      <c r="I293" s="24"/>
      <c r="J293" s="24"/>
      <c r="L293" s="55"/>
    </row>
    <row r="294">
      <c r="B294" s="55"/>
      <c r="C294" s="24"/>
      <c r="F294" s="24"/>
      <c r="H294" s="24"/>
      <c r="I294" s="24"/>
      <c r="J294" s="24"/>
      <c r="L294" s="55"/>
    </row>
    <row r="295">
      <c r="B295" s="55"/>
      <c r="C295" s="24"/>
      <c r="F295" s="24"/>
      <c r="H295" s="24"/>
      <c r="I295" s="24"/>
      <c r="J295" s="24"/>
      <c r="L295" s="55"/>
    </row>
    <row r="296">
      <c r="B296" s="55"/>
      <c r="C296" s="24"/>
      <c r="F296" s="24"/>
      <c r="H296" s="24"/>
      <c r="I296" s="24"/>
      <c r="J296" s="24"/>
      <c r="L296" s="55"/>
    </row>
    <row r="297">
      <c r="B297" s="55"/>
      <c r="C297" s="24"/>
      <c r="F297" s="24"/>
      <c r="H297" s="24"/>
      <c r="I297" s="24"/>
      <c r="J297" s="24"/>
      <c r="L297" s="55"/>
    </row>
    <row r="298">
      <c r="B298" s="55"/>
      <c r="C298" s="24"/>
      <c r="F298" s="24"/>
      <c r="H298" s="24"/>
      <c r="I298" s="24"/>
      <c r="J298" s="24"/>
      <c r="L298" s="55"/>
    </row>
    <row r="299">
      <c r="B299" s="55"/>
      <c r="C299" s="24"/>
      <c r="F299" s="24"/>
      <c r="H299" s="24"/>
      <c r="I299" s="24"/>
      <c r="J299" s="24"/>
      <c r="L299" s="55"/>
    </row>
    <row r="300">
      <c r="B300" s="55"/>
      <c r="C300" s="24"/>
      <c r="F300" s="24"/>
      <c r="H300" s="24"/>
      <c r="I300" s="24"/>
      <c r="J300" s="24"/>
      <c r="L300" s="55"/>
    </row>
    <row r="301">
      <c r="B301" s="55"/>
      <c r="C301" s="24"/>
      <c r="F301" s="24"/>
      <c r="H301" s="24"/>
      <c r="I301" s="24"/>
      <c r="J301" s="24"/>
      <c r="L301" s="55"/>
    </row>
    <row r="302">
      <c r="B302" s="55"/>
      <c r="C302" s="24"/>
      <c r="F302" s="24"/>
      <c r="H302" s="24"/>
      <c r="I302" s="24"/>
      <c r="J302" s="24"/>
      <c r="L302" s="55"/>
    </row>
    <row r="303">
      <c r="B303" s="55"/>
      <c r="C303" s="24"/>
      <c r="F303" s="24"/>
      <c r="H303" s="24"/>
      <c r="I303" s="24"/>
      <c r="J303" s="24"/>
      <c r="L303" s="55"/>
    </row>
    <row r="304">
      <c r="B304" s="55"/>
      <c r="C304" s="24"/>
      <c r="F304" s="24"/>
      <c r="H304" s="24"/>
      <c r="I304" s="24"/>
      <c r="J304" s="24"/>
      <c r="L304" s="55"/>
    </row>
    <row r="305">
      <c r="B305" s="55"/>
      <c r="C305" s="24"/>
      <c r="F305" s="24"/>
      <c r="H305" s="24"/>
      <c r="I305" s="24"/>
      <c r="J305" s="24"/>
      <c r="L305" s="55"/>
    </row>
    <row r="306">
      <c r="B306" s="55"/>
      <c r="C306" s="24"/>
      <c r="F306" s="24"/>
      <c r="H306" s="24"/>
      <c r="I306" s="24"/>
      <c r="J306" s="24"/>
      <c r="L306" s="55"/>
    </row>
    <row r="307">
      <c r="B307" s="55"/>
      <c r="C307" s="24"/>
      <c r="F307" s="24"/>
      <c r="H307" s="24"/>
      <c r="I307" s="24"/>
      <c r="J307" s="24"/>
      <c r="L307" s="55"/>
    </row>
    <row r="308">
      <c r="B308" s="55"/>
      <c r="C308" s="24"/>
      <c r="F308" s="24"/>
      <c r="H308" s="24"/>
      <c r="I308" s="24"/>
      <c r="J308" s="24"/>
      <c r="L308" s="55"/>
    </row>
    <row r="309">
      <c r="B309" s="55"/>
      <c r="C309" s="24"/>
      <c r="F309" s="24"/>
      <c r="H309" s="24"/>
      <c r="I309" s="24"/>
      <c r="J309" s="24"/>
      <c r="L309" s="55"/>
    </row>
    <row r="310">
      <c r="B310" s="55"/>
      <c r="C310" s="24"/>
      <c r="F310" s="24"/>
      <c r="H310" s="24"/>
      <c r="I310" s="24"/>
      <c r="J310" s="24"/>
      <c r="L310" s="55"/>
    </row>
    <row r="311">
      <c r="B311" s="55"/>
      <c r="C311" s="24"/>
      <c r="F311" s="24"/>
      <c r="H311" s="24"/>
      <c r="I311" s="24"/>
      <c r="J311" s="24"/>
      <c r="L311" s="55"/>
    </row>
    <row r="312">
      <c r="B312" s="55"/>
      <c r="C312" s="24"/>
      <c r="F312" s="24"/>
      <c r="H312" s="24"/>
      <c r="I312" s="24"/>
      <c r="J312" s="24"/>
      <c r="L312" s="55"/>
    </row>
    <row r="313">
      <c r="B313" s="55"/>
      <c r="C313" s="24"/>
      <c r="F313" s="24"/>
      <c r="H313" s="24"/>
      <c r="I313" s="24"/>
      <c r="J313" s="24"/>
      <c r="L313" s="55"/>
    </row>
    <row r="314">
      <c r="B314" s="55"/>
      <c r="C314" s="24"/>
      <c r="F314" s="24"/>
      <c r="H314" s="24"/>
      <c r="I314" s="24"/>
      <c r="J314" s="24"/>
      <c r="L314" s="55"/>
    </row>
    <row r="315">
      <c r="B315" s="55"/>
      <c r="C315" s="24"/>
      <c r="F315" s="24"/>
      <c r="H315" s="24"/>
      <c r="I315" s="24"/>
      <c r="J315" s="24"/>
      <c r="L315" s="55"/>
    </row>
    <row r="316">
      <c r="B316" s="55"/>
      <c r="C316" s="24"/>
      <c r="F316" s="24"/>
      <c r="H316" s="24"/>
      <c r="I316" s="24"/>
      <c r="J316" s="24"/>
      <c r="L316" s="55"/>
    </row>
    <row r="317">
      <c r="B317" s="55"/>
      <c r="C317" s="24"/>
      <c r="F317" s="24"/>
      <c r="H317" s="24"/>
      <c r="I317" s="24"/>
      <c r="J317" s="24"/>
      <c r="L317" s="55"/>
    </row>
    <row r="318">
      <c r="B318" s="55"/>
      <c r="C318" s="24"/>
      <c r="F318" s="24"/>
      <c r="H318" s="24"/>
      <c r="I318" s="24"/>
      <c r="J318" s="24"/>
      <c r="L318" s="55"/>
    </row>
    <row r="319">
      <c r="B319" s="55"/>
      <c r="C319" s="24"/>
      <c r="F319" s="24"/>
      <c r="H319" s="24"/>
      <c r="I319" s="24"/>
      <c r="J319" s="24"/>
      <c r="L319" s="55"/>
    </row>
    <row r="320">
      <c r="B320" s="55"/>
      <c r="C320" s="24"/>
      <c r="F320" s="24"/>
      <c r="H320" s="24"/>
      <c r="I320" s="24"/>
      <c r="J320" s="24"/>
      <c r="L320" s="55"/>
    </row>
    <row r="321">
      <c r="B321" s="55"/>
      <c r="C321" s="24"/>
      <c r="F321" s="24"/>
      <c r="H321" s="24"/>
      <c r="I321" s="24"/>
      <c r="J321" s="24"/>
      <c r="L321" s="55"/>
    </row>
    <row r="322">
      <c r="B322" s="55"/>
      <c r="C322" s="24"/>
      <c r="F322" s="24"/>
      <c r="H322" s="24"/>
      <c r="I322" s="24"/>
      <c r="J322" s="24"/>
      <c r="L322" s="55"/>
    </row>
    <row r="323">
      <c r="B323" s="55"/>
      <c r="C323" s="24"/>
      <c r="F323" s="24"/>
      <c r="H323" s="24"/>
      <c r="I323" s="24"/>
      <c r="J323" s="24"/>
      <c r="L323" s="55"/>
    </row>
    <row r="324">
      <c r="B324" s="55"/>
      <c r="C324" s="24"/>
      <c r="F324" s="24"/>
      <c r="H324" s="24"/>
      <c r="I324" s="24"/>
      <c r="J324" s="24"/>
      <c r="L324" s="55"/>
    </row>
    <row r="325">
      <c r="B325" s="55"/>
      <c r="C325" s="24"/>
      <c r="F325" s="24"/>
      <c r="H325" s="24"/>
      <c r="I325" s="24"/>
      <c r="J325" s="24"/>
      <c r="L325" s="55"/>
    </row>
    <row r="326">
      <c r="B326" s="55"/>
      <c r="C326" s="24"/>
      <c r="F326" s="24"/>
      <c r="H326" s="24"/>
      <c r="I326" s="24"/>
      <c r="J326" s="24"/>
      <c r="L326" s="55"/>
    </row>
    <row r="327">
      <c r="B327" s="55"/>
      <c r="C327" s="24"/>
      <c r="F327" s="24"/>
      <c r="H327" s="24"/>
      <c r="I327" s="24"/>
      <c r="J327" s="24"/>
      <c r="L327" s="55"/>
    </row>
    <row r="328">
      <c r="B328" s="55"/>
      <c r="C328" s="24"/>
      <c r="F328" s="24"/>
      <c r="H328" s="24"/>
      <c r="I328" s="24"/>
      <c r="J328" s="24"/>
      <c r="L328" s="55"/>
    </row>
    <row r="329">
      <c r="B329" s="55"/>
      <c r="C329" s="24"/>
      <c r="F329" s="24"/>
      <c r="H329" s="24"/>
      <c r="I329" s="24"/>
      <c r="J329" s="24"/>
      <c r="L329" s="55"/>
    </row>
    <row r="330">
      <c r="B330" s="55"/>
      <c r="C330" s="24"/>
      <c r="F330" s="24"/>
      <c r="H330" s="24"/>
      <c r="I330" s="24"/>
      <c r="J330" s="24"/>
      <c r="L330" s="55"/>
    </row>
    <row r="331">
      <c r="B331" s="55"/>
      <c r="C331" s="24"/>
      <c r="F331" s="24"/>
      <c r="H331" s="24"/>
      <c r="I331" s="24"/>
      <c r="J331" s="24"/>
      <c r="L331" s="55"/>
    </row>
    <row r="332">
      <c r="B332" s="55"/>
      <c r="C332" s="24"/>
      <c r="F332" s="24"/>
      <c r="H332" s="24"/>
      <c r="I332" s="24"/>
      <c r="J332" s="24"/>
      <c r="L332" s="55"/>
    </row>
    <row r="333">
      <c r="B333" s="55"/>
      <c r="C333" s="24"/>
      <c r="F333" s="24"/>
      <c r="H333" s="24"/>
      <c r="I333" s="24"/>
      <c r="J333" s="24"/>
      <c r="L333" s="55"/>
    </row>
    <row r="334">
      <c r="B334" s="55"/>
      <c r="C334" s="24"/>
      <c r="F334" s="24"/>
      <c r="H334" s="24"/>
      <c r="I334" s="24"/>
      <c r="J334" s="24"/>
      <c r="L334" s="55"/>
    </row>
    <row r="335">
      <c r="B335" s="55"/>
      <c r="C335" s="24"/>
      <c r="F335" s="24"/>
      <c r="H335" s="24"/>
      <c r="I335" s="24"/>
      <c r="J335" s="24"/>
      <c r="L335" s="55"/>
    </row>
    <row r="336">
      <c r="B336" s="55"/>
      <c r="C336" s="24"/>
      <c r="F336" s="24"/>
      <c r="H336" s="24"/>
      <c r="I336" s="24"/>
      <c r="J336" s="24"/>
      <c r="L336" s="55"/>
    </row>
    <row r="337">
      <c r="B337" s="55"/>
      <c r="C337" s="24"/>
      <c r="F337" s="24"/>
      <c r="H337" s="24"/>
      <c r="I337" s="24"/>
      <c r="J337" s="24"/>
      <c r="L337" s="55"/>
    </row>
    <row r="338">
      <c r="B338" s="55"/>
      <c r="C338" s="24"/>
      <c r="F338" s="24"/>
      <c r="H338" s="24"/>
      <c r="I338" s="24"/>
      <c r="J338" s="24"/>
      <c r="L338" s="55"/>
    </row>
    <row r="339">
      <c r="B339" s="55"/>
      <c r="C339" s="24"/>
      <c r="F339" s="24"/>
      <c r="H339" s="24"/>
      <c r="I339" s="24"/>
      <c r="J339" s="24"/>
      <c r="L339" s="55"/>
    </row>
    <row r="340">
      <c r="B340" s="55"/>
      <c r="C340" s="24"/>
      <c r="F340" s="24"/>
      <c r="H340" s="24"/>
      <c r="I340" s="24"/>
      <c r="J340" s="24"/>
      <c r="L340" s="55"/>
    </row>
    <row r="341">
      <c r="B341" s="55"/>
      <c r="C341" s="24"/>
      <c r="F341" s="24"/>
      <c r="H341" s="24"/>
      <c r="I341" s="24"/>
      <c r="J341" s="24"/>
      <c r="L341" s="55"/>
    </row>
    <row r="342">
      <c r="B342" s="55"/>
      <c r="C342" s="24"/>
      <c r="F342" s="24"/>
      <c r="H342" s="24"/>
      <c r="I342" s="24"/>
      <c r="J342" s="24"/>
      <c r="L342" s="55"/>
    </row>
    <row r="343">
      <c r="B343" s="55"/>
      <c r="C343" s="24"/>
      <c r="F343" s="24"/>
      <c r="H343" s="24"/>
      <c r="I343" s="24"/>
      <c r="J343" s="24"/>
      <c r="L343" s="55"/>
    </row>
    <row r="344">
      <c r="B344" s="55"/>
      <c r="C344" s="24"/>
      <c r="F344" s="24"/>
      <c r="H344" s="24"/>
      <c r="I344" s="24"/>
      <c r="J344" s="24"/>
      <c r="L344" s="55"/>
    </row>
    <row r="345">
      <c r="B345" s="55"/>
      <c r="C345" s="24"/>
      <c r="F345" s="24"/>
      <c r="H345" s="24"/>
      <c r="I345" s="24"/>
      <c r="J345" s="24"/>
      <c r="L345" s="55"/>
    </row>
    <row r="346">
      <c r="B346" s="55"/>
      <c r="C346" s="24"/>
      <c r="F346" s="24"/>
      <c r="H346" s="24"/>
      <c r="I346" s="24"/>
      <c r="J346" s="24"/>
      <c r="L346" s="55"/>
    </row>
    <row r="347">
      <c r="B347" s="55"/>
      <c r="C347" s="24"/>
      <c r="F347" s="24"/>
      <c r="H347" s="24"/>
      <c r="I347" s="24"/>
      <c r="J347" s="24"/>
      <c r="L347" s="55"/>
    </row>
    <row r="348">
      <c r="B348" s="55"/>
      <c r="C348" s="24"/>
      <c r="F348" s="24"/>
      <c r="H348" s="24"/>
      <c r="I348" s="24"/>
      <c r="J348" s="24"/>
      <c r="L348" s="55"/>
    </row>
    <row r="349">
      <c r="B349" s="55"/>
      <c r="C349" s="24"/>
      <c r="F349" s="24"/>
      <c r="H349" s="24"/>
      <c r="I349" s="24"/>
      <c r="J349" s="24"/>
      <c r="L349" s="55"/>
    </row>
    <row r="350">
      <c r="B350" s="55"/>
      <c r="C350" s="24"/>
      <c r="F350" s="24"/>
      <c r="H350" s="24"/>
      <c r="I350" s="24"/>
      <c r="J350" s="24"/>
      <c r="L350" s="55"/>
    </row>
    <row r="351">
      <c r="B351" s="55"/>
      <c r="C351" s="24"/>
      <c r="F351" s="24"/>
      <c r="H351" s="24"/>
      <c r="I351" s="24"/>
      <c r="J351" s="24"/>
      <c r="L351" s="55"/>
    </row>
    <row r="352">
      <c r="B352" s="55"/>
      <c r="C352" s="24"/>
      <c r="F352" s="24"/>
      <c r="H352" s="24"/>
      <c r="I352" s="24"/>
      <c r="J352" s="24"/>
      <c r="L352" s="55"/>
    </row>
    <row r="353">
      <c r="B353" s="55"/>
      <c r="C353" s="24"/>
      <c r="F353" s="24"/>
      <c r="H353" s="24"/>
      <c r="I353" s="24"/>
      <c r="J353" s="24"/>
      <c r="L353" s="55"/>
    </row>
    <row r="354">
      <c r="B354" s="55"/>
      <c r="C354" s="24"/>
      <c r="F354" s="24"/>
      <c r="H354" s="24"/>
      <c r="I354" s="24"/>
      <c r="J354" s="24"/>
      <c r="L354" s="55"/>
    </row>
    <row r="355">
      <c r="B355" s="55"/>
      <c r="C355" s="24"/>
      <c r="F355" s="24"/>
      <c r="H355" s="24"/>
      <c r="I355" s="24"/>
      <c r="J355" s="24"/>
      <c r="L355" s="55"/>
    </row>
    <row r="356">
      <c r="B356" s="55"/>
      <c r="C356" s="24"/>
      <c r="F356" s="24"/>
      <c r="H356" s="24"/>
      <c r="I356" s="24"/>
      <c r="J356" s="24"/>
      <c r="L356" s="55"/>
    </row>
    <row r="357">
      <c r="B357" s="55"/>
      <c r="C357" s="24"/>
      <c r="F357" s="24"/>
      <c r="H357" s="24"/>
      <c r="I357" s="24"/>
      <c r="J357" s="24"/>
      <c r="L357" s="55"/>
    </row>
    <row r="358">
      <c r="B358" s="55"/>
      <c r="C358" s="24"/>
      <c r="F358" s="24"/>
      <c r="H358" s="24"/>
      <c r="I358" s="24"/>
      <c r="J358" s="24"/>
      <c r="L358" s="55"/>
    </row>
    <row r="359">
      <c r="B359" s="55"/>
      <c r="C359" s="24"/>
      <c r="F359" s="24"/>
      <c r="H359" s="24"/>
      <c r="I359" s="24"/>
      <c r="J359" s="24"/>
      <c r="L359" s="55"/>
    </row>
    <row r="360">
      <c r="B360" s="55"/>
      <c r="C360" s="24"/>
      <c r="F360" s="24"/>
      <c r="H360" s="24"/>
      <c r="I360" s="24"/>
      <c r="J360" s="24"/>
      <c r="L360" s="55"/>
    </row>
    <row r="361">
      <c r="B361" s="55"/>
      <c r="C361" s="24"/>
      <c r="F361" s="24"/>
      <c r="H361" s="24"/>
      <c r="I361" s="24"/>
      <c r="J361" s="24"/>
      <c r="L361" s="55"/>
    </row>
    <row r="362">
      <c r="B362" s="55"/>
      <c r="C362" s="24"/>
      <c r="F362" s="24"/>
      <c r="H362" s="24"/>
      <c r="I362" s="24"/>
      <c r="J362" s="24"/>
      <c r="L362" s="55"/>
    </row>
    <row r="363">
      <c r="B363" s="55"/>
      <c r="C363" s="24"/>
      <c r="F363" s="24"/>
      <c r="H363" s="24"/>
      <c r="I363" s="24"/>
      <c r="J363" s="24"/>
      <c r="L363" s="55"/>
    </row>
    <row r="364">
      <c r="B364" s="55"/>
      <c r="C364" s="24"/>
      <c r="F364" s="24"/>
      <c r="H364" s="24"/>
      <c r="I364" s="24"/>
      <c r="J364" s="24"/>
      <c r="L364" s="55"/>
    </row>
    <row r="365">
      <c r="B365" s="55"/>
      <c r="C365" s="24"/>
      <c r="F365" s="24"/>
      <c r="H365" s="24"/>
      <c r="I365" s="24"/>
      <c r="J365" s="24"/>
      <c r="L365" s="55"/>
    </row>
    <row r="366">
      <c r="B366" s="55"/>
      <c r="C366" s="24"/>
      <c r="F366" s="24"/>
      <c r="H366" s="24"/>
      <c r="I366" s="24"/>
      <c r="J366" s="24"/>
      <c r="L366" s="55"/>
    </row>
    <row r="367">
      <c r="B367" s="55"/>
      <c r="C367" s="24"/>
      <c r="F367" s="24"/>
      <c r="H367" s="24"/>
      <c r="I367" s="24"/>
      <c r="J367" s="24"/>
      <c r="L367" s="55"/>
    </row>
    <row r="368">
      <c r="B368" s="55"/>
      <c r="C368" s="24"/>
      <c r="F368" s="24"/>
      <c r="H368" s="24"/>
      <c r="I368" s="24"/>
      <c r="J368" s="24"/>
      <c r="L368" s="55"/>
    </row>
    <row r="369">
      <c r="B369" s="55"/>
      <c r="C369" s="24"/>
      <c r="F369" s="24"/>
      <c r="H369" s="24"/>
      <c r="I369" s="24"/>
      <c r="J369" s="24"/>
      <c r="L369" s="55"/>
    </row>
    <row r="370">
      <c r="B370" s="55"/>
      <c r="C370" s="24"/>
      <c r="F370" s="24"/>
      <c r="H370" s="24"/>
      <c r="I370" s="24"/>
      <c r="J370" s="24"/>
      <c r="L370" s="55"/>
    </row>
    <row r="371">
      <c r="B371" s="55"/>
      <c r="C371" s="24"/>
      <c r="F371" s="24"/>
      <c r="H371" s="24"/>
      <c r="I371" s="24"/>
      <c r="J371" s="24"/>
      <c r="L371" s="55"/>
    </row>
    <row r="372">
      <c r="B372" s="55"/>
      <c r="C372" s="24"/>
      <c r="F372" s="24"/>
      <c r="H372" s="24"/>
      <c r="I372" s="24"/>
      <c r="J372" s="24"/>
      <c r="L372" s="55"/>
    </row>
    <row r="373">
      <c r="B373" s="55"/>
      <c r="C373" s="24"/>
      <c r="F373" s="24"/>
      <c r="H373" s="24"/>
      <c r="I373" s="24"/>
      <c r="J373" s="24"/>
      <c r="L373" s="55"/>
    </row>
    <row r="374">
      <c r="B374" s="55"/>
      <c r="C374" s="24"/>
      <c r="F374" s="24"/>
      <c r="H374" s="24"/>
      <c r="I374" s="24"/>
      <c r="J374" s="24"/>
      <c r="L374" s="55"/>
    </row>
    <row r="375">
      <c r="B375" s="55"/>
      <c r="C375" s="24"/>
      <c r="F375" s="24"/>
      <c r="H375" s="24"/>
      <c r="I375" s="24"/>
      <c r="J375" s="24"/>
      <c r="L375" s="55"/>
    </row>
    <row r="376">
      <c r="B376" s="55"/>
      <c r="C376" s="24"/>
      <c r="F376" s="24"/>
      <c r="H376" s="24"/>
      <c r="I376" s="24"/>
      <c r="J376" s="24"/>
      <c r="L376" s="55"/>
    </row>
    <row r="377">
      <c r="B377" s="55"/>
      <c r="C377" s="24"/>
      <c r="F377" s="24"/>
      <c r="H377" s="24"/>
      <c r="I377" s="24"/>
      <c r="J377" s="24"/>
      <c r="L377" s="55"/>
    </row>
    <row r="378">
      <c r="B378" s="55"/>
      <c r="C378" s="24"/>
      <c r="F378" s="24"/>
      <c r="H378" s="24"/>
      <c r="I378" s="24"/>
      <c r="J378" s="24"/>
      <c r="L378" s="55"/>
    </row>
    <row r="379">
      <c r="B379" s="55"/>
      <c r="C379" s="24"/>
      <c r="F379" s="24"/>
      <c r="H379" s="24"/>
      <c r="I379" s="24"/>
      <c r="J379" s="24"/>
      <c r="L379" s="55"/>
    </row>
    <row r="380">
      <c r="B380" s="55"/>
      <c r="C380" s="24"/>
      <c r="F380" s="24"/>
      <c r="H380" s="24"/>
      <c r="I380" s="24"/>
      <c r="J380" s="24"/>
      <c r="L380" s="55"/>
    </row>
    <row r="381">
      <c r="B381" s="55"/>
      <c r="C381" s="24"/>
      <c r="F381" s="24"/>
      <c r="H381" s="24"/>
      <c r="I381" s="24"/>
      <c r="J381" s="24"/>
      <c r="L381" s="55"/>
    </row>
    <row r="382">
      <c r="B382" s="55"/>
      <c r="C382" s="24"/>
      <c r="F382" s="24"/>
      <c r="H382" s="24"/>
      <c r="I382" s="24"/>
      <c r="J382" s="24"/>
      <c r="L382" s="55"/>
    </row>
    <row r="383">
      <c r="B383" s="55"/>
      <c r="C383" s="24"/>
      <c r="F383" s="24"/>
      <c r="H383" s="24"/>
      <c r="I383" s="24"/>
      <c r="J383" s="24"/>
      <c r="L383" s="55"/>
    </row>
    <row r="384">
      <c r="B384" s="55"/>
      <c r="C384" s="24"/>
      <c r="F384" s="24"/>
      <c r="H384" s="24"/>
      <c r="I384" s="24"/>
      <c r="J384" s="24"/>
      <c r="L384" s="55"/>
    </row>
    <row r="385">
      <c r="B385" s="55"/>
      <c r="C385" s="24"/>
      <c r="F385" s="24"/>
      <c r="H385" s="24"/>
      <c r="I385" s="24"/>
      <c r="J385" s="24"/>
      <c r="L385" s="55"/>
    </row>
    <row r="386">
      <c r="B386" s="55"/>
      <c r="C386" s="24"/>
      <c r="F386" s="24"/>
      <c r="H386" s="24"/>
      <c r="I386" s="24"/>
      <c r="J386" s="24"/>
      <c r="L386" s="55"/>
    </row>
    <row r="387">
      <c r="B387" s="55"/>
      <c r="C387" s="24"/>
      <c r="F387" s="24"/>
      <c r="H387" s="24"/>
      <c r="I387" s="24"/>
      <c r="J387" s="24"/>
      <c r="L387" s="55"/>
    </row>
    <row r="388">
      <c r="B388" s="55"/>
      <c r="C388" s="24"/>
      <c r="F388" s="24"/>
      <c r="H388" s="24"/>
      <c r="I388" s="24"/>
      <c r="J388" s="24"/>
      <c r="L388" s="55"/>
    </row>
    <row r="389">
      <c r="B389" s="55"/>
      <c r="C389" s="24"/>
      <c r="F389" s="24"/>
      <c r="H389" s="24"/>
      <c r="I389" s="24"/>
      <c r="J389" s="24"/>
      <c r="L389" s="55"/>
    </row>
    <row r="390">
      <c r="B390" s="55"/>
      <c r="C390" s="24"/>
      <c r="F390" s="24"/>
      <c r="H390" s="24"/>
      <c r="I390" s="24"/>
      <c r="J390" s="24"/>
      <c r="L390" s="55"/>
    </row>
    <row r="391">
      <c r="B391" s="55"/>
      <c r="C391" s="24"/>
      <c r="F391" s="24"/>
      <c r="H391" s="24"/>
      <c r="I391" s="24"/>
      <c r="J391" s="24"/>
      <c r="L391" s="55"/>
    </row>
    <row r="392">
      <c r="B392" s="55"/>
      <c r="C392" s="24"/>
      <c r="F392" s="24"/>
      <c r="H392" s="24"/>
      <c r="I392" s="24"/>
      <c r="J392" s="24"/>
      <c r="L392" s="55"/>
    </row>
    <row r="393">
      <c r="B393" s="55"/>
      <c r="C393" s="24"/>
      <c r="F393" s="24"/>
      <c r="H393" s="24"/>
      <c r="I393" s="24"/>
      <c r="J393" s="24"/>
      <c r="L393" s="55"/>
    </row>
    <row r="394">
      <c r="B394" s="55"/>
      <c r="C394" s="24"/>
      <c r="F394" s="24"/>
      <c r="H394" s="24"/>
      <c r="I394" s="24"/>
      <c r="J394" s="24"/>
      <c r="L394" s="55"/>
    </row>
    <row r="395">
      <c r="B395" s="55"/>
      <c r="C395" s="24"/>
      <c r="F395" s="24"/>
      <c r="H395" s="24"/>
      <c r="I395" s="24"/>
      <c r="J395" s="24"/>
      <c r="L395" s="55"/>
    </row>
    <row r="396">
      <c r="B396" s="55"/>
      <c r="C396" s="24"/>
      <c r="F396" s="24"/>
      <c r="H396" s="24"/>
      <c r="I396" s="24"/>
      <c r="J396" s="24"/>
      <c r="L396" s="55"/>
    </row>
    <row r="397">
      <c r="B397" s="55"/>
      <c r="C397" s="24"/>
      <c r="F397" s="24"/>
      <c r="H397" s="24"/>
      <c r="I397" s="24"/>
      <c r="J397" s="24"/>
      <c r="L397" s="55"/>
    </row>
    <row r="398">
      <c r="B398" s="55"/>
      <c r="C398" s="24"/>
      <c r="F398" s="24"/>
      <c r="H398" s="24"/>
      <c r="I398" s="24"/>
      <c r="J398" s="24"/>
      <c r="L398" s="55"/>
    </row>
    <row r="399">
      <c r="B399" s="55"/>
      <c r="C399" s="24"/>
      <c r="F399" s="24"/>
      <c r="H399" s="24"/>
      <c r="I399" s="24"/>
      <c r="J399" s="24"/>
      <c r="L399" s="55"/>
    </row>
    <row r="400">
      <c r="B400" s="55"/>
      <c r="C400" s="24"/>
      <c r="F400" s="24"/>
      <c r="H400" s="24"/>
      <c r="I400" s="24"/>
      <c r="J400" s="24"/>
      <c r="L400" s="55"/>
    </row>
    <row r="401">
      <c r="B401" s="55"/>
      <c r="C401" s="24"/>
      <c r="F401" s="24"/>
      <c r="H401" s="24"/>
      <c r="I401" s="24"/>
      <c r="J401" s="24"/>
      <c r="L401" s="55"/>
    </row>
    <row r="402">
      <c r="B402" s="55"/>
      <c r="C402" s="24"/>
      <c r="F402" s="24"/>
      <c r="H402" s="24"/>
      <c r="I402" s="24"/>
      <c r="J402" s="24"/>
      <c r="L402" s="55"/>
    </row>
    <row r="403">
      <c r="B403" s="55"/>
      <c r="C403" s="24"/>
      <c r="F403" s="24"/>
      <c r="H403" s="24"/>
      <c r="I403" s="24"/>
      <c r="J403" s="24"/>
      <c r="L403" s="55"/>
    </row>
    <row r="404">
      <c r="B404" s="55"/>
      <c r="C404" s="24"/>
      <c r="F404" s="24"/>
      <c r="H404" s="24"/>
      <c r="I404" s="24"/>
      <c r="J404" s="24"/>
      <c r="L404" s="55"/>
    </row>
    <row r="405">
      <c r="B405" s="55"/>
      <c r="C405" s="24"/>
      <c r="F405" s="24"/>
      <c r="H405" s="24"/>
      <c r="I405" s="24"/>
      <c r="J405" s="24"/>
      <c r="L405" s="55"/>
    </row>
    <row r="406">
      <c r="B406" s="55"/>
      <c r="C406" s="24"/>
      <c r="F406" s="24"/>
      <c r="H406" s="24"/>
      <c r="I406" s="24"/>
      <c r="J406" s="24"/>
      <c r="L406" s="55"/>
    </row>
    <row r="407">
      <c r="B407" s="55"/>
      <c r="C407" s="24"/>
      <c r="F407" s="24"/>
      <c r="H407" s="24"/>
      <c r="I407" s="24"/>
      <c r="J407" s="24"/>
      <c r="L407" s="55"/>
    </row>
    <row r="408">
      <c r="B408" s="55"/>
      <c r="C408" s="24"/>
      <c r="F408" s="24"/>
      <c r="H408" s="24"/>
      <c r="I408" s="24"/>
      <c r="J408" s="24"/>
      <c r="L408" s="55"/>
    </row>
    <row r="409">
      <c r="B409" s="55"/>
      <c r="C409" s="24"/>
      <c r="F409" s="24"/>
      <c r="H409" s="24"/>
      <c r="I409" s="24"/>
      <c r="J409" s="24"/>
      <c r="L409" s="55"/>
    </row>
    <row r="410">
      <c r="B410" s="55"/>
      <c r="C410" s="24"/>
      <c r="F410" s="24"/>
      <c r="H410" s="24"/>
      <c r="I410" s="24"/>
      <c r="J410" s="24"/>
      <c r="L410" s="55"/>
    </row>
    <row r="411">
      <c r="B411" s="55"/>
      <c r="C411" s="24"/>
      <c r="F411" s="24"/>
      <c r="H411" s="24"/>
      <c r="I411" s="24"/>
      <c r="J411" s="24"/>
      <c r="L411" s="55"/>
    </row>
    <row r="412">
      <c r="B412" s="55"/>
      <c r="C412" s="24"/>
      <c r="F412" s="24"/>
      <c r="H412" s="24"/>
      <c r="I412" s="24"/>
      <c r="J412" s="24"/>
      <c r="L412" s="55"/>
    </row>
    <row r="413">
      <c r="B413" s="55"/>
      <c r="C413" s="24"/>
      <c r="F413" s="24"/>
      <c r="H413" s="24"/>
      <c r="I413" s="24"/>
      <c r="J413" s="24"/>
      <c r="L413" s="55"/>
    </row>
    <row r="414">
      <c r="B414" s="55"/>
      <c r="C414" s="24"/>
      <c r="F414" s="24"/>
      <c r="H414" s="24"/>
      <c r="I414" s="24"/>
      <c r="J414" s="24"/>
      <c r="L414" s="55"/>
    </row>
    <row r="415">
      <c r="B415" s="55"/>
      <c r="C415" s="24"/>
      <c r="F415" s="24"/>
      <c r="H415" s="24"/>
      <c r="I415" s="24"/>
      <c r="J415" s="24"/>
      <c r="L415" s="55"/>
    </row>
    <row r="416">
      <c r="B416" s="55"/>
      <c r="C416" s="24"/>
      <c r="F416" s="24"/>
      <c r="H416" s="24"/>
      <c r="I416" s="24"/>
      <c r="J416" s="24"/>
      <c r="L416" s="55"/>
    </row>
    <row r="417">
      <c r="B417" s="55"/>
      <c r="C417" s="24"/>
      <c r="F417" s="24"/>
      <c r="H417" s="24"/>
      <c r="I417" s="24"/>
      <c r="J417" s="24"/>
      <c r="L417" s="55"/>
    </row>
    <row r="418">
      <c r="B418" s="55"/>
      <c r="C418" s="24"/>
      <c r="F418" s="24"/>
      <c r="H418" s="24"/>
      <c r="I418" s="24"/>
      <c r="J418" s="24"/>
      <c r="L418" s="55"/>
    </row>
    <row r="419">
      <c r="B419" s="55"/>
      <c r="C419" s="24"/>
      <c r="F419" s="24"/>
      <c r="H419" s="24"/>
      <c r="I419" s="24"/>
      <c r="J419" s="24"/>
      <c r="L419" s="55"/>
    </row>
    <row r="420">
      <c r="B420" s="55"/>
      <c r="C420" s="24"/>
      <c r="F420" s="24"/>
      <c r="H420" s="24"/>
      <c r="I420" s="24"/>
      <c r="J420" s="24"/>
      <c r="L420" s="55"/>
    </row>
    <row r="421">
      <c r="B421" s="55"/>
      <c r="C421" s="24"/>
      <c r="F421" s="24"/>
      <c r="H421" s="24"/>
      <c r="I421" s="24"/>
      <c r="J421" s="24"/>
      <c r="L421" s="55"/>
    </row>
    <row r="422">
      <c r="B422" s="55"/>
      <c r="C422" s="24"/>
      <c r="F422" s="24"/>
      <c r="H422" s="24"/>
      <c r="I422" s="24"/>
      <c r="J422" s="24"/>
      <c r="L422" s="55"/>
    </row>
    <row r="423">
      <c r="B423" s="55"/>
      <c r="C423" s="24"/>
      <c r="F423" s="24"/>
      <c r="H423" s="24"/>
      <c r="I423" s="24"/>
      <c r="J423" s="24"/>
      <c r="L423" s="55"/>
    </row>
    <row r="424">
      <c r="B424" s="55"/>
      <c r="C424" s="24"/>
      <c r="F424" s="24"/>
      <c r="H424" s="24"/>
      <c r="I424" s="24"/>
      <c r="J424" s="24"/>
      <c r="L424" s="55"/>
    </row>
    <row r="425">
      <c r="B425" s="55"/>
      <c r="C425" s="24"/>
      <c r="F425" s="24"/>
      <c r="H425" s="24"/>
      <c r="I425" s="24"/>
      <c r="J425" s="24"/>
      <c r="L425" s="55"/>
    </row>
    <row r="426">
      <c r="B426" s="55"/>
      <c r="C426" s="24"/>
      <c r="F426" s="24"/>
      <c r="H426" s="24"/>
      <c r="I426" s="24"/>
      <c r="J426" s="24"/>
      <c r="L426" s="55"/>
    </row>
    <row r="427">
      <c r="B427" s="55"/>
      <c r="C427" s="24"/>
      <c r="F427" s="24"/>
      <c r="H427" s="24"/>
      <c r="I427" s="24"/>
      <c r="J427" s="24"/>
      <c r="L427" s="55"/>
    </row>
    <row r="428">
      <c r="B428" s="55"/>
      <c r="C428" s="24"/>
      <c r="F428" s="24"/>
      <c r="H428" s="24"/>
      <c r="I428" s="24"/>
      <c r="J428" s="24"/>
      <c r="L428" s="55"/>
    </row>
    <row r="429">
      <c r="B429" s="55"/>
      <c r="C429" s="24"/>
      <c r="F429" s="24"/>
      <c r="H429" s="24"/>
      <c r="I429" s="24"/>
      <c r="J429" s="24"/>
      <c r="L429" s="55"/>
    </row>
    <row r="430">
      <c r="B430" s="55"/>
      <c r="C430" s="24"/>
      <c r="F430" s="24"/>
      <c r="H430" s="24"/>
      <c r="I430" s="24"/>
      <c r="J430" s="24"/>
      <c r="L430" s="55"/>
    </row>
    <row r="431">
      <c r="B431" s="55"/>
      <c r="C431" s="24"/>
      <c r="F431" s="24"/>
      <c r="H431" s="24"/>
      <c r="I431" s="24"/>
      <c r="J431" s="24"/>
      <c r="L431" s="55"/>
    </row>
    <row r="432">
      <c r="B432" s="55"/>
      <c r="C432" s="24"/>
      <c r="F432" s="24"/>
      <c r="H432" s="24"/>
      <c r="I432" s="24"/>
      <c r="J432" s="24"/>
      <c r="L432" s="55"/>
    </row>
    <row r="433">
      <c r="B433" s="55"/>
      <c r="C433" s="24"/>
      <c r="F433" s="24"/>
      <c r="H433" s="24"/>
      <c r="I433" s="24"/>
      <c r="J433" s="24"/>
      <c r="L433" s="55"/>
    </row>
    <row r="434">
      <c r="B434" s="55"/>
      <c r="C434" s="24"/>
      <c r="F434" s="24"/>
      <c r="H434" s="24"/>
      <c r="I434" s="24"/>
      <c r="J434" s="24"/>
      <c r="L434" s="55"/>
    </row>
    <row r="435">
      <c r="B435" s="55"/>
      <c r="C435" s="24"/>
      <c r="F435" s="24"/>
      <c r="H435" s="24"/>
      <c r="I435" s="24"/>
      <c r="J435" s="24"/>
      <c r="L435" s="55"/>
    </row>
    <row r="436">
      <c r="B436" s="55"/>
      <c r="C436" s="24"/>
      <c r="F436" s="24"/>
      <c r="H436" s="24"/>
      <c r="I436" s="24"/>
      <c r="J436" s="24"/>
      <c r="L436" s="55"/>
    </row>
    <row r="437">
      <c r="B437" s="55"/>
      <c r="C437" s="24"/>
      <c r="F437" s="24"/>
      <c r="H437" s="24"/>
      <c r="I437" s="24"/>
      <c r="J437" s="24"/>
      <c r="L437" s="55"/>
    </row>
    <row r="438">
      <c r="B438" s="55"/>
      <c r="C438" s="24"/>
      <c r="F438" s="24"/>
      <c r="H438" s="24"/>
      <c r="I438" s="24"/>
      <c r="J438" s="24"/>
      <c r="L438" s="55"/>
    </row>
    <row r="439">
      <c r="B439" s="55"/>
      <c r="C439" s="24"/>
      <c r="F439" s="24"/>
      <c r="H439" s="24"/>
      <c r="I439" s="24"/>
      <c r="J439" s="24"/>
      <c r="L439" s="55"/>
    </row>
    <row r="440">
      <c r="B440" s="55"/>
      <c r="C440" s="24"/>
      <c r="F440" s="24"/>
      <c r="H440" s="24"/>
      <c r="I440" s="24"/>
      <c r="J440" s="24"/>
      <c r="L440" s="55"/>
    </row>
    <row r="441">
      <c r="B441" s="55"/>
      <c r="C441" s="24"/>
      <c r="F441" s="24"/>
      <c r="H441" s="24"/>
      <c r="I441" s="24"/>
      <c r="J441" s="24"/>
      <c r="L441" s="55"/>
    </row>
    <row r="442">
      <c r="B442" s="55"/>
      <c r="C442" s="24"/>
      <c r="F442" s="24"/>
      <c r="H442" s="24"/>
      <c r="I442" s="24"/>
      <c r="J442" s="24"/>
      <c r="L442" s="55"/>
    </row>
    <row r="443">
      <c r="B443" s="55"/>
      <c r="C443" s="24"/>
      <c r="F443" s="24"/>
      <c r="H443" s="24"/>
      <c r="I443" s="24"/>
      <c r="J443" s="24"/>
      <c r="L443" s="55"/>
    </row>
    <row r="444">
      <c r="B444" s="55"/>
      <c r="C444" s="24"/>
      <c r="F444" s="24"/>
      <c r="H444" s="24"/>
      <c r="I444" s="24"/>
      <c r="J444" s="24"/>
      <c r="L444" s="55"/>
    </row>
    <row r="445">
      <c r="B445" s="55"/>
      <c r="C445" s="24"/>
      <c r="F445" s="24"/>
      <c r="H445" s="24"/>
      <c r="I445" s="24"/>
      <c r="J445" s="24"/>
      <c r="L445" s="55"/>
    </row>
    <row r="446">
      <c r="B446" s="55"/>
      <c r="C446" s="24"/>
      <c r="F446" s="24"/>
      <c r="H446" s="24"/>
      <c r="I446" s="24"/>
      <c r="J446" s="24"/>
      <c r="L446" s="55"/>
    </row>
    <row r="447">
      <c r="B447" s="55"/>
      <c r="C447" s="24"/>
      <c r="F447" s="24"/>
      <c r="H447" s="24"/>
      <c r="I447" s="24"/>
      <c r="J447" s="24"/>
      <c r="L447" s="55"/>
    </row>
    <row r="448">
      <c r="B448" s="55"/>
      <c r="C448" s="24"/>
      <c r="F448" s="24"/>
      <c r="H448" s="24"/>
      <c r="I448" s="24"/>
      <c r="J448" s="24"/>
      <c r="L448" s="55"/>
    </row>
    <row r="449">
      <c r="B449" s="55"/>
      <c r="C449" s="24"/>
      <c r="F449" s="24"/>
      <c r="H449" s="24"/>
      <c r="I449" s="24"/>
      <c r="J449" s="24"/>
      <c r="L449" s="55"/>
    </row>
    <row r="450">
      <c r="B450" s="55"/>
      <c r="C450" s="24"/>
      <c r="F450" s="24"/>
      <c r="H450" s="24"/>
      <c r="I450" s="24"/>
      <c r="J450" s="24"/>
      <c r="L450" s="55"/>
    </row>
    <row r="451">
      <c r="B451" s="55"/>
      <c r="C451" s="24"/>
      <c r="F451" s="24"/>
      <c r="H451" s="24"/>
      <c r="I451" s="24"/>
      <c r="J451" s="24"/>
      <c r="L451" s="55"/>
    </row>
    <row r="452">
      <c r="B452" s="55"/>
      <c r="C452" s="24"/>
      <c r="F452" s="24"/>
      <c r="H452" s="24"/>
      <c r="I452" s="24"/>
      <c r="J452" s="24"/>
      <c r="L452" s="55"/>
    </row>
    <row r="453">
      <c r="B453" s="55"/>
      <c r="C453" s="24"/>
      <c r="F453" s="24"/>
      <c r="H453" s="24"/>
      <c r="I453" s="24"/>
      <c r="J453" s="24"/>
      <c r="L453" s="55"/>
    </row>
    <row r="454">
      <c r="B454" s="55"/>
      <c r="C454" s="24"/>
      <c r="F454" s="24"/>
      <c r="H454" s="24"/>
      <c r="I454" s="24"/>
      <c r="J454" s="24"/>
      <c r="L454" s="55"/>
    </row>
    <row r="455">
      <c r="B455" s="55"/>
      <c r="C455" s="24"/>
      <c r="F455" s="24"/>
      <c r="H455" s="24"/>
      <c r="I455" s="24"/>
      <c r="J455" s="24"/>
      <c r="L455" s="55"/>
    </row>
    <row r="456">
      <c r="B456" s="55"/>
      <c r="C456" s="24"/>
      <c r="F456" s="24"/>
      <c r="H456" s="24"/>
      <c r="I456" s="24"/>
      <c r="J456" s="24"/>
      <c r="L456" s="55"/>
    </row>
    <row r="457">
      <c r="B457" s="55"/>
      <c r="C457" s="24"/>
      <c r="F457" s="24"/>
      <c r="H457" s="24"/>
      <c r="I457" s="24"/>
      <c r="J457" s="24"/>
      <c r="L457" s="55"/>
    </row>
    <row r="458">
      <c r="B458" s="55"/>
      <c r="C458" s="24"/>
      <c r="F458" s="24"/>
      <c r="H458" s="24"/>
      <c r="I458" s="24"/>
      <c r="J458" s="24"/>
      <c r="L458" s="55"/>
    </row>
    <row r="459">
      <c r="B459" s="55"/>
      <c r="C459" s="24"/>
      <c r="F459" s="24"/>
      <c r="H459" s="24"/>
      <c r="I459" s="24"/>
      <c r="J459" s="24"/>
      <c r="L459" s="55"/>
    </row>
    <row r="460">
      <c r="B460" s="55"/>
      <c r="C460" s="24"/>
      <c r="F460" s="24"/>
      <c r="H460" s="24"/>
      <c r="I460" s="24"/>
      <c r="J460" s="24"/>
      <c r="L460" s="55"/>
    </row>
    <row r="461">
      <c r="B461" s="55"/>
      <c r="C461" s="24"/>
      <c r="F461" s="24"/>
      <c r="H461" s="24"/>
      <c r="I461" s="24"/>
      <c r="J461" s="24"/>
      <c r="L461" s="55"/>
    </row>
    <row r="462">
      <c r="B462" s="55"/>
      <c r="C462" s="24"/>
      <c r="F462" s="24"/>
      <c r="H462" s="24"/>
      <c r="I462" s="24"/>
      <c r="J462" s="24"/>
      <c r="L462" s="55"/>
    </row>
    <row r="463">
      <c r="B463" s="55"/>
      <c r="C463" s="24"/>
      <c r="F463" s="24"/>
      <c r="H463" s="24"/>
      <c r="I463" s="24"/>
      <c r="J463" s="24"/>
      <c r="L463" s="55"/>
    </row>
    <row r="464">
      <c r="B464" s="55"/>
      <c r="C464" s="24"/>
      <c r="F464" s="24"/>
      <c r="H464" s="24"/>
      <c r="I464" s="24"/>
      <c r="J464" s="24"/>
      <c r="L464" s="55"/>
    </row>
    <row r="465">
      <c r="B465" s="55"/>
      <c r="C465" s="24"/>
      <c r="F465" s="24"/>
      <c r="H465" s="24"/>
      <c r="I465" s="24"/>
      <c r="J465" s="24"/>
      <c r="L465" s="55"/>
    </row>
    <row r="466">
      <c r="B466" s="55"/>
      <c r="C466" s="24"/>
      <c r="F466" s="24"/>
      <c r="H466" s="24"/>
      <c r="I466" s="24"/>
      <c r="J466" s="24"/>
      <c r="L466" s="55"/>
    </row>
    <row r="467">
      <c r="B467" s="55"/>
      <c r="C467" s="24"/>
      <c r="F467" s="24"/>
      <c r="H467" s="24"/>
      <c r="I467" s="24"/>
      <c r="J467" s="24"/>
      <c r="L467" s="55"/>
    </row>
    <row r="468">
      <c r="B468" s="55"/>
      <c r="C468" s="24"/>
      <c r="F468" s="24"/>
      <c r="H468" s="24"/>
      <c r="I468" s="24"/>
      <c r="J468" s="24"/>
      <c r="L468" s="55"/>
    </row>
    <row r="469">
      <c r="B469" s="55"/>
      <c r="C469" s="24"/>
      <c r="F469" s="24"/>
      <c r="H469" s="24"/>
      <c r="I469" s="24"/>
      <c r="J469" s="24"/>
      <c r="L469" s="55"/>
    </row>
    <row r="470">
      <c r="B470" s="55"/>
      <c r="C470" s="24"/>
      <c r="F470" s="24"/>
      <c r="H470" s="24"/>
      <c r="I470" s="24"/>
      <c r="J470" s="24"/>
      <c r="L470" s="55"/>
    </row>
    <row r="471">
      <c r="B471" s="55"/>
      <c r="C471" s="24"/>
      <c r="F471" s="24"/>
      <c r="H471" s="24"/>
      <c r="I471" s="24"/>
      <c r="J471" s="24"/>
      <c r="L471" s="55"/>
    </row>
    <row r="472">
      <c r="B472" s="55"/>
      <c r="C472" s="24"/>
      <c r="F472" s="24"/>
      <c r="H472" s="24"/>
      <c r="I472" s="24"/>
      <c r="J472" s="24"/>
      <c r="L472" s="55"/>
    </row>
    <row r="473">
      <c r="B473" s="55"/>
      <c r="C473" s="24"/>
      <c r="F473" s="24"/>
      <c r="H473" s="24"/>
      <c r="I473" s="24"/>
      <c r="J473" s="24"/>
      <c r="L473" s="55"/>
    </row>
    <row r="474">
      <c r="B474" s="55"/>
      <c r="C474" s="24"/>
      <c r="F474" s="24"/>
      <c r="H474" s="24"/>
      <c r="I474" s="24"/>
      <c r="J474" s="24"/>
      <c r="L474" s="55"/>
    </row>
    <row r="475">
      <c r="B475" s="55"/>
      <c r="C475" s="24"/>
      <c r="F475" s="24"/>
      <c r="H475" s="24"/>
      <c r="I475" s="24"/>
      <c r="J475" s="24"/>
      <c r="L475" s="55"/>
    </row>
    <row r="476">
      <c r="B476" s="55"/>
      <c r="C476" s="24"/>
      <c r="F476" s="24"/>
      <c r="H476" s="24"/>
      <c r="I476" s="24"/>
      <c r="J476" s="24"/>
      <c r="L476" s="55"/>
    </row>
    <row r="477">
      <c r="B477" s="55"/>
      <c r="C477" s="24"/>
      <c r="F477" s="24"/>
      <c r="H477" s="24"/>
      <c r="I477" s="24"/>
      <c r="J477" s="24"/>
      <c r="L477" s="55"/>
    </row>
    <row r="478">
      <c r="B478" s="55"/>
      <c r="C478" s="24"/>
      <c r="F478" s="24"/>
      <c r="H478" s="24"/>
      <c r="I478" s="24"/>
      <c r="J478" s="24"/>
      <c r="L478" s="55"/>
    </row>
    <row r="479">
      <c r="B479" s="55"/>
      <c r="C479" s="24"/>
      <c r="F479" s="24"/>
      <c r="H479" s="24"/>
      <c r="I479" s="24"/>
      <c r="J479" s="24"/>
      <c r="L479" s="55"/>
    </row>
    <row r="480">
      <c r="B480" s="55"/>
      <c r="C480" s="24"/>
      <c r="F480" s="24"/>
      <c r="H480" s="24"/>
      <c r="I480" s="24"/>
      <c r="J480" s="24"/>
      <c r="L480" s="55"/>
    </row>
    <row r="481">
      <c r="B481" s="55"/>
      <c r="C481" s="24"/>
      <c r="F481" s="24"/>
      <c r="H481" s="24"/>
      <c r="I481" s="24"/>
      <c r="J481" s="24"/>
      <c r="L481" s="55"/>
    </row>
    <row r="482">
      <c r="B482" s="55"/>
      <c r="C482" s="24"/>
      <c r="F482" s="24"/>
      <c r="H482" s="24"/>
      <c r="I482" s="24"/>
      <c r="J482" s="24"/>
      <c r="L482" s="55"/>
    </row>
    <row r="483">
      <c r="B483" s="55"/>
      <c r="C483" s="24"/>
      <c r="F483" s="24"/>
      <c r="H483" s="24"/>
      <c r="I483" s="24"/>
      <c r="J483" s="24"/>
      <c r="L483" s="55"/>
    </row>
    <row r="484">
      <c r="B484" s="55"/>
      <c r="C484" s="24"/>
      <c r="F484" s="24"/>
      <c r="H484" s="24"/>
      <c r="I484" s="24"/>
      <c r="J484" s="24"/>
      <c r="L484" s="55"/>
    </row>
    <row r="485">
      <c r="B485" s="55"/>
      <c r="C485" s="24"/>
      <c r="F485" s="24"/>
      <c r="H485" s="24"/>
      <c r="I485" s="24"/>
      <c r="J485" s="24"/>
      <c r="L485" s="55"/>
    </row>
    <row r="486">
      <c r="B486" s="55"/>
      <c r="C486" s="24"/>
      <c r="F486" s="24"/>
      <c r="H486" s="24"/>
      <c r="I486" s="24"/>
      <c r="J486" s="24"/>
      <c r="L486" s="55"/>
    </row>
    <row r="487">
      <c r="B487" s="55"/>
      <c r="C487" s="24"/>
      <c r="F487" s="24"/>
      <c r="H487" s="24"/>
      <c r="I487" s="24"/>
      <c r="J487" s="24"/>
      <c r="L487" s="55"/>
    </row>
    <row r="488">
      <c r="B488" s="55"/>
      <c r="C488" s="24"/>
      <c r="F488" s="24"/>
      <c r="H488" s="24"/>
      <c r="I488" s="24"/>
      <c r="J488" s="24"/>
      <c r="L488" s="55"/>
    </row>
    <row r="489">
      <c r="B489" s="55"/>
      <c r="C489" s="24"/>
      <c r="F489" s="24"/>
      <c r="H489" s="24"/>
      <c r="I489" s="24"/>
      <c r="J489" s="24"/>
      <c r="L489" s="55"/>
    </row>
    <row r="490">
      <c r="B490" s="55"/>
      <c r="C490" s="24"/>
      <c r="F490" s="24"/>
      <c r="H490" s="24"/>
      <c r="I490" s="24"/>
      <c r="J490" s="24"/>
      <c r="L490" s="55"/>
    </row>
    <row r="491">
      <c r="B491" s="55"/>
      <c r="C491" s="24"/>
      <c r="F491" s="24"/>
      <c r="H491" s="24"/>
      <c r="I491" s="24"/>
      <c r="J491" s="24"/>
      <c r="L491" s="55"/>
    </row>
    <row r="492">
      <c r="B492" s="55"/>
      <c r="C492" s="24"/>
      <c r="F492" s="24"/>
      <c r="H492" s="24"/>
      <c r="I492" s="24"/>
      <c r="J492" s="24"/>
      <c r="L492" s="55"/>
    </row>
    <row r="493">
      <c r="B493" s="55"/>
      <c r="C493" s="24"/>
      <c r="F493" s="24"/>
      <c r="H493" s="24"/>
      <c r="I493" s="24"/>
      <c r="J493" s="24"/>
      <c r="L493" s="55"/>
    </row>
    <row r="494">
      <c r="B494" s="55"/>
      <c r="C494" s="24"/>
      <c r="F494" s="24"/>
      <c r="H494" s="24"/>
      <c r="I494" s="24"/>
      <c r="J494" s="24"/>
      <c r="L494" s="55"/>
    </row>
    <row r="495">
      <c r="B495" s="55"/>
      <c r="C495" s="24"/>
      <c r="F495" s="24"/>
      <c r="H495" s="24"/>
      <c r="I495" s="24"/>
      <c r="J495" s="24"/>
      <c r="L495" s="55"/>
    </row>
    <row r="496">
      <c r="B496" s="55"/>
      <c r="C496" s="24"/>
      <c r="F496" s="24"/>
      <c r="H496" s="24"/>
      <c r="I496" s="24"/>
      <c r="J496" s="24"/>
      <c r="L496" s="55"/>
    </row>
    <row r="497">
      <c r="B497" s="55"/>
      <c r="C497" s="24"/>
      <c r="F497" s="24"/>
      <c r="H497" s="24"/>
      <c r="I497" s="24"/>
      <c r="J497" s="24"/>
      <c r="L497" s="55"/>
    </row>
    <row r="498">
      <c r="B498" s="55"/>
      <c r="C498" s="24"/>
      <c r="F498" s="24"/>
      <c r="H498" s="24"/>
      <c r="I498" s="24"/>
      <c r="J498" s="24"/>
      <c r="L498" s="55"/>
    </row>
    <row r="499">
      <c r="B499" s="55"/>
      <c r="C499" s="24"/>
      <c r="F499" s="24"/>
      <c r="H499" s="24"/>
      <c r="I499" s="24"/>
      <c r="J499" s="24"/>
      <c r="L499" s="55"/>
    </row>
    <row r="500">
      <c r="B500" s="55"/>
      <c r="C500" s="24"/>
      <c r="F500" s="24"/>
      <c r="H500" s="24"/>
      <c r="I500" s="24"/>
      <c r="J500" s="24"/>
      <c r="L500" s="55"/>
    </row>
    <row r="501">
      <c r="B501" s="55"/>
      <c r="C501" s="24"/>
      <c r="F501" s="24"/>
      <c r="H501" s="24"/>
      <c r="I501" s="24"/>
      <c r="J501" s="24"/>
      <c r="L501" s="55"/>
    </row>
    <row r="502">
      <c r="B502" s="55"/>
      <c r="C502" s="24"/>
      <c r="F502" s="24"/>
      <c r="H502" s="24"/>
      <c r="I502" s="24"/>
      <c r="J502" s="24"/>
      <c r="L502" s="55"/>
    </row>
    <row r="503">
      <c r="B503" s="55"/>
      <c r="C503" s="24"/>
      <c r="F503" s="24"/>
      <c r="H503" s="24"/>
      <c r="I503" s="24"/>
      <c r="J503" s="24"/>
      <c r="L503" s="55"/>
    </row>
    <row r="504">
      <c r="B504" s="55"/>
      <c r="C504" s="24"/>
      <c r="F504" s="24"/>
      <c r="H504" s="24"/>
      <c r="I504" s="24"/>
      <c r="J504" s="24"/>
      <c r="L504" s="55"/>
    </row>
    <row r="505">
      <c r="B505" s="55"/>
      <c r="C505" s="24"/>
      <c r="F505" s="24"/>
      <c r="H505" s="24"/>
      <c r="I505" s="24"/>
      <c r="J505" s="24"/>
      <c r="L505" s="55"/>
    </row>
    <row r="506">
      <c r="B506" s="55"/>
      <c r="C506" s="24"/>
      <c r="F506" s="24"/>
      <c r="H506" s="24"/>
      <c r="I506" s="24"/>
      <c r="J506" s="24"/>
      <c r="L506" s="55"/>
    </row>
    <row r="507">
      <c r="B507" s="55"/>
      <c r="C507" s="24"/>
      <c r="F507" s="24"/>
      <c r="H507" s="24"/>
      <c r="I507" s="24"/>
      <c r="J507" s="24"/>
      <c r="L507" s="55"/>
    </row>
    <row r="508">
      <c r="B508" s="55"/>
      <c r="C508" s="24"/>
      <c r="F508" s="24"/>
      <c r="H508" s="24"/>
      <c r="I508" s="24"/>
      <c r="J508" s="24"/>
      <c r="L508" s="55"/>
    </row>
    <row r="509">
      <c r="B509" s="55"/>
      <c r="C509" s="24"/>
      <c r="F509" s="24"/>
      <c r="H509" s="24"/>
      <c r="I509" s="24"/>
      <c r="J509" s="24"/>
      <c r="L509" s="55"/>
    </row>
    <row r="510">
      <c r="B510" s="55"/>
      <c r="C510" s="24"/>
      <c r="F510" s="24"/>
      <c r="H510" s="24"/>
      <c r="I510" s="24"/>
      <c r="J510" s="24"/>
      <c r="L510" s="55"/>
    </row>
    <row r="511">
      <c r="B511" s="55"/>
      <c r="C511" s="24"/>
      <c r="F511" s="24"/>
      <c r="H511" s="24"/>
      <c r="I511" s="24"/>
      <c r="J511" s="24"/>
      <c r="L511" s="55"/>
    </row>
    <row r="512">
      <c r="B512" s="55"/>
      <c r="C512" s="24"/>
      <c r="F512" s="24"/>
      <c r="H512" s="24"/>
      <c r="I512" s="24"/>
      <c r="J512" s="24"/>
      <c r="L512" s="55"/>
    </row>
    <row r="513">
      <c r="B513" s="55"/>
      <c r="C513" s="24"/>
      <c r="F513" s="24"/>
      <c r="H513" s="24"/>
      <c r="I513" s="24"/>
      <c r="J513" s="24"/>
      <c r="L513" s="55"/>
    </row>
    <row r="514">
      <c r="B514" s="55"/>
      <c r="C514" s="24"/>
      <c r="F514" s="24"/>
      <c r="H514" s="24"/>
      <c r="I514" s="24"/>
      <c r="J514" s="24"/>
      <c r="L514" s="55"/>
    </row>
    <row r="515">
      <c r="B515" s="55"/>
      <c r="C515" s="24"/>
      <c r="F515" s="24"/>
      <c r="H515" s="24"/>
      <c r="I515" s="24"/>
      <c r="J515" s="24"/>
      <c r="L515" s="55"/>
    </row>
    <row r="516">
      <c r="B516" s="55"/>
      <c r="C516" s="24"/>
      <c r="F516" s="24"/>
      <c r="H516" s="24"/>
      <c r="I516" s="24"/>
      <c r="J516" s="24"/>
      <c r="L516" s="55"/>
    </row>
    <row r="517">
      <c r="B517" s="55"/>
      <c r="C517" s="24"/>
      <c r="F517" s="24"/>
      <c r="H517" s="24"/>
      <c r="I517" s="24"/>
      <c r="J517" s="24"/>
      <c r="L517" s="55"/>
    </row>
    <row r="518">
      <c r="B518" s="55"/>
      <c r="C518" s="24"/>
      <c r="F518" s="24"/>
      <c r="H518" s="24"/>
      <c r="I518" s="24"/>
      <c r="J518" s="24"/>
      <c r="L518" s="55"/>
    </row>
    <row r="519">
      <c r="B519" s="55"/>
      <c r="C519" s="24"/>
      <c r="F519" s="24"/>
      <c r="H519" s="24"/>
      <c r="I519" s="24"/>
      <c r="J519" s="24"/>
      <c r="L519" s="55"/>
    </row>
    <row r="520">
      <c r="B520" s="55"/>
      <c r="C520" s="24"/>
      <c r="F520" s="24"/>
      <c r="H520" s="24"/>
      <c r="I520" s="24"/>
      <c r="J520" s="24"/>
      <c r="L520" s="55"/>
    </row>
    <row r="521">
      <c r="B521" s="55"/>
      <c r="C521" s="24"/>
      <c r="F521" s="24"/>
      <c r="H521" s="24"/>
      <c r="I521" s="24"/>
      <c r="J521" s="24"/>
      <c r="L521" s="55"/>
    </row>
    <row r="522">
      <c r="B522" s="55"/>
      <c r="C522" s="24"/>
      <c r="F522" s="24"/>
      <c r="H522" s="24"/>
      <c r="I522" s="24"/>
      <c r="J522" s="24"/>
      <c r="L522" s="55"/>
    </row>
    <row r="523">
      <c r="B523" s="55"/>
      <c r="C523" s="24"/>
      <c r="F523" s="24"/>
      <c r="H523" s="24"/>
      <c r="I523" s="24"/>
      <c r="J523" s="24"/>
      <c r="L523" s="55"/>
    </row>
    <row r="524">
      <c r="B524" s="55"/>
      <c r="C524" s="24"/>
      <c r="F524" s="24"/>
      <c r="H524" s="24"/>
      <c r="I524" s="24"/>
      <c r="J524" s="24"/>
      <c r="L524" s="55"/>
    </row>
    <row r="525">
      <c r="B525" s="55"/>
      <c r="C525" s="24"/>
      <c r="F525" s="24"/>
      <c r="H525" s="24"/>
      <c r="I525" s="24"/>
      <c r="J525" s="24"/>
      <c r="L525" s="55"/>
    </row>
    <row r="526">
      <c r="B526" s="55"/>
      <c r="C526" s="24"/>
      <c r="F526" s="24"/>
      <c r="H526" s="24"/>
      <c r="I526" s="24"/>
      <c r="J526" s="24"/>
      <c r="L526" s="55"/>
    </row>
    <row r="527">
      <c r="B527" s="55"/>
      <c r="C527" s="24"/>
      <c r="F527" s="24"/>
      <c r="H527" s="24"/>
      <c r="I527" s="24"/>
      <c r="J527" s="24"/>
      <c r="L527" s="55"/>
    </row>
    <row r="528">
      <c r="B528" s="55"/>
      <c r="C528" s="24"/>
      <c r="F528" s="24"/>
      <c r="H528" s="24"/>
      <c r="I528" s="24"/>
      <c r="J528" s="24"/>
      <c r="L528" s="55"/>
    </row>
    <row r="529">
      <c r="B529" s="55"/>
      <c r="C529" s="24"/>
      <c r="F529" s="24"/>
      <c r="H529" s="24"/>
      <c r="I529" s="24"/>
      <c r="J529" s="24"/>
      <c r="L529" s="55"/>
    </row>
    <row r="530">
      <c r="B530" s="55"/>
      <c r="C530" s="24"/>
      <c r="F530" s="24"/>
      <c r="H530" s="24"/>
      <c r="I530" s="24"/>
      <c r="J530" s="24"/>
      <c r="L530" s="55"/>
    </row>
    <row r="531">
      <c r="B531" s="55"/>
      <c r="C531" s="24"/>
      <c r="F531" s="24"/>
      <c r="H531" s="24"/>
      <c r="I531" s="24"/>
      <c r="J531" s="24"/>
      <c r="L531" s="55"/>
    </row>
    <row r="532">
      <c r="B532" s="55"/>
      <c r="C532" s="24"/>
      <c r="F532" s="24"/>
      <c r="H532" s="24"/>
      <c r="I532" s="24"/>
      <c r="J532" s="24"/>
      <c r="L532" s="55"/>
    </row>
    <row r="533">
      <c r="B533" s="55"/>
      <c r="C533" s="24"/>
      <c r="F533" s="24"/>
      <c r="H533" s="24"/>
      <c r="I533" s="24"/>
      <c r="J533" s="24"/>
      <c r="L533" s="55"/>
    </row>
    <row r="534">
      <c r="B534" s="55"/>
      <c r="C534" s="24"/>
      <c r="F534" s="24"/>
      <c r="H534" s="24"/>
      <c r="I534" s="24"/>
      <c r="J534" s="24"/>
      <c r="L534" s="55"/>
    </row>
    <row r="535">
      <c r="B535" s="55"/>
      <c r="C535" s="24"/>
      <c r="F535" s="24"/>
      <c r="H535" s="24"/>
      <c r="I535" s="24"/>
      <c r="J535" s="24"/>
      <c r="L535" s="55"/>
    </row>
    <row r="536">
      <c r="B536" s="55"/>
      <c r="C536" s="24"/>
      <c r="F536" s="24"/>
      <c r="H536" s="24"/>
      <c r="I536" s="24"/>
      <c r="J536" s="24"/>
      <c r="L536" s="55"/>
    </row>
    <row r="537">
      <c r="B537" s="55"/>
      <c r="C537" s="24"/>
      <c r="F537" s="24"/>
      <c r="H537" s="24"/>
      <c r="I537" s="24"/>
      <c r="J537" s="24"/>
      <c r="L537" s="55"/>
    </row>
    <row r="538">
      <c r="B538" s="55"/>
      <c r="C538" s="24"/>
      <c r="F538" s="24"/>
      <c r="H538" s="24"/>
      <c r="I538" s="24"/>
      <c r="J538" s="24"/>
      <c r="L538" s="55"/>
    </row>
    <row r="539">
      <c r="B539" s="55"/>
      <c r="C539" s="24"/>
      <c r="F539" s="24"/>
      <c r="H539" s="24"/>
      <c r="I539" s="24"/>
      <c r="J539" s="24"/>
      <c r="L539" s="55"/>
    </row>
    <row r="540">
      <c r="B540" s="55"/>
      <c r="C540" s="24"/>
      <c r="F540" s="24"/>
      <c r="H540" s="24"/>
      <c r="I540" s="24"/>
      <c r="J540" s="24"/>
      <c r="L540" s="55"/>
    </row>
    <row r="541">
      <c r="B541" s="55"/>
      <c r="C541" s="24"/>
      <c r="F541" s="24"/>
      <c r="H541" s="24"/>
      <c r="I541" s="24"/>
      <c r="J541" s="24"/>
      <c r="L541" s="55"/>
    </row>
    <row r="542">
      <c r="B542" s="55"/>
      <c r="C542" s="24"/>
      <c r="F542" s="24"/>
      <c r="H542" s="24"/>
      <c r="I542" s="24"/>
      <c r="J542" s="24"/>
      <c r="L542" s="55"/>
    </row>
    <row r="543">
      <c r="B543" s="55"/>
      <c r="C543" s="24"/>
      <c r="F543" s="24"/>
      <c r="H543" s="24"/>
      <c r="I543" s="24"/>
      <c r="J543" s="24"/>
      <c r="L543" s="55"/>
    </row>
    <row r="544">
      <c r="B544" s="55"/>
      <c r="C544" s="24"/>
      <c r="F544" s="24"/>
      <c r="H544" s="24"/>
      <c r="I544" s="24"/>
      <c r="J544" s="24"/>
      <c r="L544" s="55"/>
    </row>
    <row r="545">
      <c r="B545" s="55"/>
      <c r="C545" s="24"/>
      <c r="F545" s="24"/>
      <c r="H545" s="24"/>
      <c r="I545" s="24"/>
      <c r="J545" s="24"/>
      <c r="L545" s="55"/>
    </row>
    <row r="546">
      <c r="B546" s="55"/>
      <c r="C546" s="24"/>
      <c r="F546" s="24"/>
      <c r="H546" s="24"/>
      <c r="I546" s="24"/>
      <c r="J546" s="24"/>
      <c r="L546" s="55"/>
    </row>
    <row r="547">
      <c r="B547" s="55"/>
      <c r="C547" s="24"/>
      <c r="F547" s="24"/>
      <c r="H547" s="24"/>
      <c r="I547" s="24"/>
      <c r="J547" s="24"/>
      <c r="L547" s="55"/>
    </row>
    <row r="548">
      <c r="B548" s="55"/>
      <c r="C548" s="24"/>
      <c r="F548" s="24"/>
      <c r="H548" s="24"/>
      <c r="I548" s="24"/>
      <c r="J548" s="24"/>
      <c r="L548" s="55"/>
    </row>
    <row r="549">
      <c r="B549" s="55"/>
      <c r="C549" s="24"/>
      <c r="F549" s="24"/>
      <c r="H549" s="24"/>
      <c r="I549" s="24"/>
      <c r="J549" s="24"/>
      <c r="L549" s="55"/>
    </row>
    <row r="550">
      <c r="B550" s="55"/>
      <c r="C550" s="24"/>
      <c r="F550" s="24"/>
      <c r="H550" s="24"/>
      <c r="I550" s="24"/>
      <c r="J550" s="24"/>
      <c r="L550" s="55"/>
    </row>
    <row r="551">
      <c r="B551" s="55"/>
      <c r="C551" s="24"/>
      <c r="F551" s="24"/>
      <c r="H551" s="24"/>
      <c r="I551" s="24"/>
      <c r="J551" s="24"/>
      <c r="L551" s="55"/>
    </row>
    <row r="552">
      <c r="B552" s="55"/>
      <c r="C552" s="24"/>
      <c r="F552" s="24"/>
      <c r="H552" s="24"/>
      <c r="I552" s="24"/>
      <c r="J552" s="24"/>
      <c r="L552" s="55"/>
    </row>
    <row r="553">
      <c r="B553" s="55"/>
      <c r="C553" s="24"/>
      <c r="F553" s="24"/>
      <c r="H553" s="24"/>
      <c r="I553" s="24"/>
      <c r="J553" s="24"/>
      <c r="L553" s="55"/>
    </row>
    <row r="554">
      <c r="B554" s="55"/>
      <c r="C554" s="24"/>
      <c r="F554" s="24"/>
      <c r="H554" s="24"/>
      <c r="I554" s="24"/>
      <c r="J554" s="24"/>
      <c r="L554" s="55"/>
    </row>
    <row r="555">
      <c r="B555" s="55"/>
      <c r="C555" s="24"/>
      <c r="F555" s="24"/>
      <c r="H555" s="24"/>
      <c r="I555" s="24"/>
      <c r="J555" s="24"/>
      <c r="L555" s="55"/>
    </row>
    <row r="556">
      <c r="B556" s="55"/>
      <c r="C556" s="24"/>
      <c r="F556" s="24"/>
      <c r="H556" s="24"/>
      <c r="I556" s="24"/>
      <c r="J556" s="24"/>
      <c r="L556" s="55"/>
    </row>
    <row r="557">
      <c r="B557" s="55"/>
      <c r="C557" s="24"/>
      <c r="F557" s="24"/>
      <c r="H557" s="24"/>
      <c r="I557" s="24"/>
      <c r="J557" s="24"/>
      <c r="L557" s="55"/>
    </row>
    <row r="558">
      <c r="B558" s="55"/>
      <c r="C558" s="24"/>
      <c r="F558" s="24"/>
      <c r="H558" s="24"/>
      <c r="I558" s="24"/>
      <c r="J558" s="24"/>
      <c r="L558" s="55"/>
    </row>
    <row r="559">
      <c r="B559" s="55"/>
      <c r="C559" s="24"/>
      <c r="F559" s="24"/>
      <c r="H559" s="24"/>
      <c r="I559" s="24"/>
      <c r="J559" s="24"/>
      <c r="L559" s="55"/>
    </row>
    <row r="560">
      <c r="B560" s="55"/>
      <c r="C560" s="24"/>
      <c r="F560" s="24"/>
      <c r="H560" s="24"/>
      <c r="I560" s="24"/>
      <c r="J560" s="24"/>
      <c r="L560" s="55"/>
    </row>
    <row r="561">
      <c r="B561" s="55"/>
      <c r="C561" s="24"/>
      <c r="F561" s="24"/>
      <c r="H561" s="24"/>
      <c r="I561" s="24"/>
      <c r="J561" s="24"/>
      <c r="L561" s="55"/>
    </row>
    <row r="562">
      <c r="B562" s="55"/>
      <c r="C562" s="24"/>
      <c r="F562" s="24"/>
      <c r="H562" s="24"/>
      <c r="I562" s="24"/>
      <c r="J562" s="24"/>
      <c r="L562" s="55"/>
    </row>
    <row r="563">
      <c r="B563" s="55"/>
      <c r="C563" s="24"/>
      <c r="F563" s="24"/>
      <c r="H563" s="24"/>
      <c r="I563" s="24"/>
      <c r="J563" s="24"/>
      <c r="L563" s="55"/>
    </row>
    <row r="564">
      <c r="B564" s="55"/>
      <c r="C564" s="24"/>
      <c r="F564" s="24"/>
      <c r="H564" s="24"/>
      <c r="I564" s="24"/>
      <c r="J564" s="24"/>
      <c r="L564" s="55"/>
    </row>
    <row r="565">
      <c r="B565" s="55"/>
      <c r="C565" s="24"/>
      <c r="F565" s="24"/>
      <c r="H565" s="24"/>
      <c r="I565" s="24"/>
      <c r="J565" s="24"/>
      <c r="L565" s="55"/>
    </row>
    <row r="566">
      <c r="B566" s="55"/>
      <c r="C566" s="24"/>
      <c r="F566" s="24"/>
      <c r="H566" s="24"/>
      <c r="I566" s="24"/>
      <c r="J566" s="24"/>
      <c r="L566" s="55"/>
    </row>
    <row r="567">
      <c r="B567" s="55"/>
      <c r="C567" s="24"/>
      <c r="F567" s="24"/>
      <c r="H567" s="24"/>
      <c r="I567" s="24"/>
      <c r="J567" s="24"/>
      <c r="L567" s="55"/>
    </row>
    <row r="568">
      <c r="B568" s="55"/>
      <c r="C568" s="24"/>
      <c r="F568" s="24"/>
      <c r="H568" s="24"/>
      <c r="I568" s="24"/>
      <c r="J568" s="24"/>
      <c r="L568" s="55"/>
    </row>
    <row r="569">
      <c r="B569" s="55"/>
      <c r="C569" s="24"/>
      <c r="F569" s="24"/>
      <c r="H569" s="24"/>
      <c r="I569" s="24"/>
      <c r="J569" s="24"/>
      <c r="L569" s="55"/>
    </row>
    <row r="570">
      <c r="B570" s="55"/>
      <c r="C570" s="24"/>
      <c r="F570" s="24"/>
      <c r="H570" s="24"/>
      <c r="I570" s="24"/>
      <c r="J570" s="24"/>
      <c r="L570" s="55"/>
    </row>
    <row r="571">
      <c r="B571" s="55"/>
      <c r="C571" s="24"/>
      <c r="F571" s="24"/>
      <c r="H571" s="24"/>
      <c r="I571" s="24"/>
      <c r="J571" s="24"/>
      <c r="L571" s="55"/>
    </row>
    <row r="572">
      <c r="B572" s="55"/>
      <c r="C572" s="24"/>
      <c r="F572" s="24"/>
      <c r="H572" s="24"/>
      <c r="I572" s="24"/>
      <c r="J572" s="24"/>
      <c r="L572" s="55"/>
    </row>
    <row r="573">
      <c r="B573" s="55"/>
      <c r="C573" s="24"/>
      <c r="F573" s="24"/>
      <c r="H573" s="24"/>
      <c r="I573" s="24"/>
      <c r="J573" s="24"/>
      <c r="L573" s="55"/>
    </row>
    <row r="574">
      <c r="B574" s="55"/>
      <c r="C574" s="24"/>
      <c r="F574" s="24"/>
      <c r="H574" s="24"/>
      <c r="I574" s="24"/>
      <c r="J574" s="24"/>
      <c r="L574" s="55"/>
    </row>
    <row r="575">
      <c r="B575" s="55"/>
      <c r="C575" s="24"/>
      <c r="F575" s="24"/>
      <c r="H575" s="24"/>
      <c r="I575" s="24"/>
      <c r="J575" s="24"/>
      <c r="L575" s="55"/>
    </row>
    <row r="576">
      <c r="B576" s="55"/>
      <c r="C576" s="24"/>
      <c r="F576" s="24"/>
      <c r="H576" s="24"/>
      <c r="I576" s="24"/>
      <c r="J576" s="24"/>
      <c r="L576" s="55"/>
    </row>
    <row r="577">
      <c r="B577" s="55"/>
      <c r="C577" s="24"/>
      <c r="F577" s="24"/>
      <c r="H577" s="24"/>
      <c r="I577" s="24"/>
      <c r="J577" s="24"/>
      <c r="L577" s="55"/>
    </row>
    <row r="578">
      <c r="B578" s="55"/>
      <c r="C578" s="24"/>
      <c r="F578" s="24"/>
      <c r="H578" s="24"/>
      <c r="I578" s="24"/>
      <c r="J578" s="24"/>
      <c r="L578" s="55"/>
    </row>
    <row r="579">
      <c r="B579" s="55"/>
      <c r="C579" s="24"/>
      <c r="F579" s="24"/>
      <c r="H579" s="24"/>
      <c r="I579" s="24"/>
      <c r="J579" s="24"/>
      <c r="L579" s="55"/>
    </row>
    <row r="580">
      <c r="B580" s="55"/>
      <c r="C580" s="24"/>
      <c r="F580" s="24"/>
      <c r="H580" s="24"/>
      <c r="I580" s="24"/>
      <c r="J580" s="24"/>
      <c r="L580" s="55"/>
    </row>
    <row r="581">
      <c r="B581" s="55"/>
      <c r="C581" s="24"/>
      <c r="F581" s="24"/>
      <c r="H581" s="24"/>
      <c r="I581" s="24"/>
      <c r="J581" s="24"/>
      <c r="L581" s="55"/>
    </row>
    <row r="582">
      <c r="B582" s="55"/>
      <c r="C582" s="24"/>
      <c r="F582" s="24"/>
      <c r="H582" s="24"/>
      <c r="I582" s="24"/>
      <c r="J582" s="24"/>
      <c r="L582" s="55"/>
    </row>
    <row r="583">
      <c r="B583" s="55"/>
      <c r="C583" s="24"/>
      <c r="F583" s="24"/>
      <c r="H583" s="24"/>
      <c r="I583" s="24"/>
      <c r="J583" s="24"/>
      <c r="L583" s="55"/>
    </row>
    <row r="584">
      <c r="B584" s="55"/>
      <c r="C584" s="24"/>
      <c r="F584" s="24"/>
      <c r="H584" s="24"/>
      <c r="I584" s="24"/>
      <c r="J584" s="24"/>
      <c r="L584" s="55"/>
    </row>
    <row r="585">
      <c r="B585" s="55"/>
      <c r="C585" s="24"/>
      <c r="F585" s="24"/>
      <c r="H585" s="24"/>
      <c r="I585" s="24"/>
      <c r="J585" s="24"/>
      <c r="L585" s="55"/>
    </row>
    <row r="586">
      <c r="B586" s="55"/>
      <c r="C586" s="24"/>
      <c r="F586" s="24"/>
      <c r="H586" s="24"/>
      <c r="I586" s="24"/>
      <c r="J586" s="24"/>
      <c r="L586" s="55"/>
    </row>
    <row r="587">
      <c r="B587" s="55"/>
      <c r="C587" s="24"/>
      <c r="F587" s="24"/>
      <c r="H587" s="24"/>
      <c r="I587" s="24"/>
      <c r="J587" s="24"/>
      <c r="L587" s="55"/>
    </row>
    <row r="588">
      <c r="B588" s="55"/>
      <c r="C588" s="24"/>
      <c r="F588" s="24"/>
      <c r="H588" s="24"/>
      <c r="I588" s="24"/>
      <c r="J588" s="24"/>
      <c r="L588" s="55"/>
    </row>
    <row r="589">
      <c r="B589" s="55"/>
      <c r="C589" s="24"/>
      <c r="F589" s="24"/>
      <c r="H589" s="24"/>
      <c r="I589" s="24"/>
      <c r="J589" s="24"/>
      <c r="L589" s="55"/>
    </row>
    <row r="590">
      <c r="B590" s="55"/>
      <c r="C590" s="24"/>
      <c r="F590" s="24"/>
      <c r="H590" s="24"/>
      <c r="I590" s="24"/>
      <c r="J590" s="24"/>
      <c r="L590" s="55"/>
    </row>
    <row r="591">
      <c r="B591" s="55"/>
      <c r="C591" s="24"/>
      <c r="F591" s="24"/>
      <c r="H591" s="24"/>
      <c r="I591" s="24"/>
      <c r="J591" s="24"/>
      <c r="L591" s="55"/>
    </row>
    <row r="592">
      <c r="B592" s="55"/>
      <c r="C592" s="24"/>
      <c r="F592" s="24"/>
      <c r="H592" s="24"/>
      <c r="I592" s="24"/>
      <c r="J592" s="24"/>
      <c r="L592" s="55"/>
    </row>
    <row r="593">
      <c r="B593" s="55"/>
      <c r="C593" s="24"/>
      <c r="F593" s="24"/>
      <c r="H593" s="24"/>
      <c r="I593" s="24"/>
      <c r="J593" s="24"/>
      <c r="L593" s="55"/>
    </row>
    <row r="594">
      <c r="B594" s="55"/>
      <c r="C594" s="24"/>
      <c r="F594" s="24"/>
      <c r="H594" s="24"/>
      <c r="I594" s="24"/>
      <c r="J594" s="24"/>
      <c r="L594" s="55"/>
    </row>
    <row r="595">
      <c r="B595" s="55"/>
      <c r="C595" s="24"/>
      <c r="F595" s="24"/>
      <c r="H595" s="24"/>
      <c r="I595" s="24"/>
      <c r="J595" s="24"/>
      <c r="L595" s="55"/>
    </row>
    <row r="596">
      <c r="B596" s="55"/>
      <c r="C596" s="24"/>
      <c r="F596" s="24"/>
      <c r="H596" s="24"/>
      <c r="I596" s="24"/>
      <c r="J596" s="24"/>
      <c r="L596" s="55"/>
    </row>
    <row r="597">
      <c r="B597" s="55"/>
      <c r="C597" s="24"/>
      <c r="F597" s="24"/>
      <c r="H597" s="24"/>
      <c r="I597" s="24"/>
      <c r="J597" s="24"/>
      <c r="L597" s="55"/>
    </row>
    <row r="598">
      <c r="B598" s="55"/>
      <c r="C598" s="24"/>
      <c r="F598" s="24"/>
      <c r="H598" s="24"/>
      <c r="I598" s="24"/>
      <c r="J598" s="24"/>
      <c r="L598" s="55"/>
    </row>
    <row r="599">
      <c r="B599" s="55"/>
      <c r="C599" s="24"/>
      <c r="F599" s="24"/>
      <c r="H599" s="24"/>
      <c r="I599" s="24"/>
      <c r="J599" s="24"/>
      <c r="L599" s="55"/>
    </row>
    <row r="600">
      <c r="B600" s="55"/>
      <c r="C600" s="24"/>
      <c r="F600" s="24"/>
      <c r="H600" s="24"/>
      <c r="I600" s="24"/>
      <c r="J600" s="24"/>
      <c r="L600" s="55"/>
    </row>
    <row r="601">
      <c r="B601" s="55"/>
      <c r="C601" s="24"/>
      <c r="F601" s="24"/>
      <c r="H601" s="24"/>
      <c r="I601" s="24"/>
      <c r="J601" s="24"/>
      <c r="L601" s="55"/>
    </row>
    <row r="602">
      <c r="B602" s="55"/>
      <c r="C602" s="24"/>
      <c r="F602" s="24"/>
      <c r="H602" s="24"/>
      <c r="I602" s="24"/>
      <c r="J602" s="24"/>
      <c r="L602" s="55"/>
    </row>
    <row r="603">
      <c r="B603" s="55"/>
      <c r="C603" s="24"/>
      <c r="F603" s="24"/>
      <c r="H603" s="24"/>
      <c r="I603" s="24"/>
      <c r="J603" s="24"/>
      <c r="L603" s="55"/>
    </row>
    <row r="604">
      <c r="B604" s="55"/>
      <c r="C604" s="24"/>
      <c r="F604" s="24"/>
      <c r="H604" s="24"/>
      <c r="I604" s="24"/>
      <c r="J604" s="24"/>
      <c r="L604" s="55"/>
    </row>
    <row r="605">
      <c r="B605" s="55"/>
      <c r="C605" s="24"/>
      <c r="F605" s="24"/>
      <c r="H605" s="24"/>
      <c r="I605" s="24"/>
      <c r="J605" s="24"/>
      <c r="L605" s="55"/>
    </row>
    <row r="606">
      <c r="B606" s="55"/>
      <c r="C606" s="24"/>
      <c r="F606" s="24"/>
      <c r="H606" s="24"/>
      <c r="I606" s="24"/>
      <c r="J606" s="24"/>
      <c r="L606" s="55"/>
    </row>
    <row r="607">
      <c r="B607" s="55"/>
      <c r="C607" s="24"/>
      <c r="F607" s="24"/>
      <c r="H607" s="24"/>
      <c r="I607" s="24"/>
      <c r="J607" s="24"/>
      <c r="L607" s="55"/>
    </row>
    <row r="608">
      <c r="B608" s="55"/>
      <c r="C608" s="24"/>
      <c r="F608" s="24"/>
      <c r="H608" s="24"/>
      <c r="I608" s="24"/>
      <c r="J608" s="24"/>
      <c r="L608" s="55"/>
    </row>
    <row r="609">
      <c r="B609" s="55"/>
      <c r="C609" s="24"/>
      <c r="F609" s="24"/>
      <c r="H609" s="24"/>
      <c r="I609" s="24"/>
      <c r="J609" s="24"/>
      <c r="L609" s="55"/>
    </row>
    <row r="610">
      <c r="B610" s="55"/>
      <c r="C610" s="24"/>
      <c r="F610" s="24"/>
      <c r="H610" s="24"/>
      <c r="I610" s="24"/>
      <c r="J610" s="24"/>
      <c r="L610" s="55"/>
    </row>
    <row r="611">
      <c r="B611" s="55"/>
      <c r="C611" s="24"/>
      <c r="F611" s="24"/>
      <c r="H611" s="24"/>
      <c r="I611" s="24"/>
      <c r="J611" s="24"/>
      <c r="L611" s="55"/>
    </row>
    <row r="612">
      <c r="B612" s="55"/>
      <c r="C612" s="24"/>
      <c r="F612" s="24"/>
      <c r="H612" s="24"/>
      <c r="I612" s="24"/>
      <c r="J612" s="24"/>
      <c r="L612" s="55"/>
    </row>
    <row r="613">
      <c r="B613" s="55"/>
      <c r="C613" s="24"/>
      <c r="F613" s="24"/>
      <c r="H613" s="24"/>
      <c r="I613" s="24"/>
      <c r="J613" s="24"/>
      <c r="L613" s="55"/>
    </row>
    <row r="614">
      <c r="B614" s="55"/>
      <c r="C614" s="24"/>
      <c r="F614" s="24"/>
      <c r="H614" s="24"/>
      <c r="I614" s="24"/>
      <c r="J614" s="24"/>
      <c r="L614" s="55"/>
    </row>
    <row r="615">
      <c r="B615" s="55"/>
      <c r="C615" s="24"/>
      <c r="F615" s="24"/>
      <c r="H615" s="24"/>
      <c r="I615" s="24"/>
      <c r="J615" s="24"/>
      <c r="L615" s="55"/>
    </row>
    <row r="616">
      <c r="B616" s="55"/>
      <c r="C616" s="24"/>
      <c r="F616" s="24"/>
      <c r="H616" s="24"/>
      <c r="I616" s="24"/>
      <c r="J616" s="24"/>
      <c r="L616" s="55"/>
    </row>
    <row r="617">
      <c r="B617" s="55"/>
      <c r="C617" s="24"/>
      <c r="F617" s="24"/>
      <c r="H617" s="24"/>
      <c r="I617" s="24"/>
      <c r="J617" s="24"/>
      <c r="L617" s="55"/>
    </row>
    <row r="618">
      <c r="B618" s="55"/>
      <c r="C618" s="24"/>
      <c r="F618" s="24"/>
      <c r="H618" s="24"/>
      <c r="I618" s="24"/>
      <c r="J618" s="24"/>
      <c r="L618" s="55"/>
    </row>
    <row r="619">
      <c r="B619" s="55"/>
      <c r="C619" s="24"/>
      <c r="F619" s="24"/>
      <c r="H619" s="24"/>
      <c r="I619" s="24"/>
      <c r="J619" s="24"/>
      <c r="L619" s="55"/>
    </row>
    <row r="620">
      <c r="B620" s="55"/>
      <c r="C620" s="24"/>
      <c r="F620" s="24"/>
      <c r="H620" s="24"/>
      <c r="I620" s="24"/>
      <c r="J620" s="24"/>
      <c r="L620" s="55"/>
    </row>
    <row r="621">
      <c r="B621" s="55"/>
      <c r="C621" s="24"/>
      <c r="F621" s="24"/>
      <c r="H621" s="24"/>
      <c r="I621" s="24"/>
      <c r="J621" s="24"/>
      <c r="L621" s="55"/>
    </row>
    <row r="622">
      <c r="B622" s="55"/>
      <c r="C622" s="24"/>
      <c r="F622" s="24"/>
      <c r="H622" s="24"/>
      <c r="I622" s="24"/>
      <c r="J622" s="24"/>
      <c r="L622" s="55"/>
    </row>
    <row r="623">
      <c r="B623" s="55"/>
      <c r="C623" s="24"/>
      <c r="F623" s="24"/>
      <c r="H623" s="24"/>
      <c r="I623" s="24"/>
      <c r="J623" s="24"/>
      <c r="L623" s="55"/>
    </row>
    <row r="624">
      <c r="B624" s="55"/>
      <c r="C624" s="24"/>
      <c r="F624" s="24"/>
      <c r="H624" s="24"/>
      <c r="I624" s="24"/>
      <c r="J624" s="24"/>
      <c r="L624" s="55"/>
    </row>
    <row r="625">
      <c r="B625" s="55"/>
      <c r="C625" s="24"/>
      <c r="F625" s="24"/>
      <c r="H625" s="24"/>
      <c r="I625" s="24"/>
      <c r="J625" s="24"/>
      <c r="L625" s="55"/>
    </row>
    <row r="626">
      <c r="B626" s="55"/>
      <c r="C626" s="24"/>
      <c r="F626" s="24"/>
      <c r="H626" s="24"/>
      <c r="I626" s="24"/>
      <c r="J626" s="24"/>
      <c r="L626" s="55"/>
    </row>
    <row r="627">
      <c r="B627" s="55"/>
      <c r="C627" s="24"/>
      <c r="F627" s="24"/>
      <c r="H627" s="24"/>
      <c r="I627" s="24"/>
      <c r="J627" s="24"/>
      <c r="L627" s="55"/>
    </row>
    <row r="628">
      <c r="B628" s="55"/>
      <c r="C628" s="24"/>
      <c r="F628" s="24"/>
      <c r="H628" s="24"/>
      <c r="I628" s="24"/>
      <c r="J628" s="24"/>
      <c r="L628" s="55"/>
    </row>
    <row r="629">
      <c r="B629" s="55"/>
      <c r="C629" s="24"/>
      <c r="F629" s="24"/>
      <c r="H629" s="24"/>
      <c r="I629" s="24"/>
      <c r="J629" s="24"/>
      <c r="L629" s="55"/>
    </row>
    <row r="630">
      <c r="B630" s="55"/>
      <c r="C630" s="24"/>
      <c r="F630" s="24"/>
      <c r="H630" s="24"/>
      <c r="I630" s="24"/>
      <c r="J630" s="24"/>
      <c r="L630" s="55"/>
    </row>
    <row r="631">
      <c r="B631" s="55"/>
      <c r="C631" s="24"/>
      <c r="F631" s="24"/>
      <c r="H631" s="24"/>
      <c r="I631" s="24"/>
      <c r="J631" s="24"/>
      <c r="L631" s="55"/>
    </row>
    <row r="632">
      <c r="B632" s="55"/>
      <c r="C632" s="24"/>
      <c r="F632" s="24"/>
      <c r="H632" s="24"/>
      <c r="I632" s="24"/>
      <c r="J632" s="24"/>
      <c r="L632" s="55"/>
    </row>
    <row r="633">
      <c r="B633" s="55"/>
      <c r="C633" s="24"/>
      <c r="F633" s="24"/>
      <c r="H633" s="24"/>
      <c r="I633" s="24"/>
      <c r="J633" s="24"/>
      <c r="L633" s="55"/>
    </row>
    <row r="634">
      <c r="B634" s="55"/>
      <c r="C634" s="24"/>
      <c r="F634" s="24"/>
      <c r="H634" s="24"/>
      <c r="I634" s="24"/>
      <c r="J634" s="24"/>
      <c r="L634" s="55"/>
    </row>
    <row r="635">
      <c r="B635" s="55"/>
      <c r="C635" s="24"/>
      <c r="F635" s="24"/>
      <c r="H635" s="24"/>
      <c r="I635" s="24"/>
      <c r="J635" s="24"/>
      <c r="L635" s="55"/>
    </row>
    <row r="636">
      <c r="B636" s="55"/>
      <c r="C636" s="24"/>
      <c r="F636" s="24"/>
      <c r="H636" s="24"/>
      <c r="I636" s="24"/>
      <c r="J636" s="24"/>
      <c r="L636" s="55"/>
    </row>
    <row r="637">
      <c r="B637" s="55"/>
      <c r="C637" s="24"/>
      <c r="F637" s="24"/>
      <c r="H637" s="24"/>
      <c r="I637" s="24"/>
      <c r="J637" s="24"/>
      <c r="L637" s="55"/>
    </row>
    <row r="638">
      <c r="B638" s="55"/>
      <c r="C638" s="24"/>
      <c r="F638" s="24"/>
      <c r="H638" s="24"/>
      <c r="I638" s="24"/>
      <c r="J638" s="24"/>
      <c r="L638" s="55"/>
    </row>
    <row r="639">
      <c r="B639" s="55"/>
      <c r="C639" s="24"/>
      <c r="F639" s="24"/>
      <c r="H639" s="24"/>
      <c r="I639" s="24"/>
      <c r="J639" s="24"/>
      <c r="L639" s="55"/>
    </row>
    <row r="640">
      <c r="B640" s="55"/>
      <c r="C640" s="24"/>
      <c r="F640" s="24"/>
      <c r="H640" s="24"/>
      <c r="I640" s="24"/>
      <c r="J640" s="24"/>
      <c r="L640" s="55"/>
    </row>
    <row r="641">
      <c r="B641" s="55"/>
      <c r="C641" s="24"/>
      <c r="F641" s="24"/>
      <c r="H641" s="24"/>
      <c r="I641" s="24"/>
      <c r="J641" s="24"/>
      <c r="L641" s="55"/>
    </row>
    <row r="642">
      <c r="B642" s="55"/>
      <c r="C642" s="24"/>
      <c r="F642" s="24"/>
      <c r="H642" s="24"/>
      <c r="I642" s="24"/>
      <c r="J642" s="24"/>
      <c r="L642" s="55"/>
    </row>
    <row r="643">
      <c r="B643" s="55"/>
      <c r="C643" s="24"/>
      <c r="F643" s="24"/>
      <c r="H643" s="24"/>
      <c r="I643" s="24"/>
      <c r="J643" s="24"/>
      <c r="L643" s="55"/>
    </row>
    <row r="644">
      <c r="B644" s="55"/>
      <c r="C644" s="24"/>
      <c r="F644" s="24"/>
      <c r="H644" s="24"/>
      <c r="I644" s="24"/>
      <c r="J644" s="24"/>
      <c r="L644" s="55"/>
    </row>
    <row r="645">
      <c r="B645" s="55"/>
      <c r="C645" s="24"/>
      <c r="F645" s="24"/>
      <c r="H645" s="24"/>
      <c r="I645" s="24"/>
      <c r="J645" s="24"/>
      <c r="L645" s="55"/>
    </row>
    <row r="646">
      <c r="B646" s="55"/>
      <c r="C646" s="24"/>
      <c r="F646" s="24"/>
      <c r="H646" s="24"/>
      <c r="I646" s="24"/>
      <c r="J646" s="24"/>
      <c r="L646" s="55"/>
    </row>
    <row r="647">
      <c r="B647" s="55"/>
      <c r="C647" s="24"/>
      <c r="F647" s="24"/>
      <c r="H647" s="24"/>
      <c r="I647" s="24"/>
      <c r="J647" s="24"/>
      <c r="L647" s="55"/>
    </row>
    <row r="648">
      <c r="B648" s="55"/>
      <c r="C648" s="24"/>
      <c r="F648" s="24"/>
      <c r="H648" s="24"/>
      <c r="I648" s="24"/>
      <c r="J648" s="24"/>
      <c r="L648" s="55"/>
    </row>
    <row r="649">
      <c r="B649" s="55"/>
      <c r="C649" s="24"/>
      <c r="F649" s="24"/>
      <c r="H649" s="24"/>
      <c r="I649" s="24"/>
      <c r="J649" s="24"/>
      <c r="L649" s="55"/>
    </row>
    <row r="650">
      <c r="B650" s="55"/>
      <c r="C650" s="24"/>
      <c r="F650" s="24"/>
      <c r="H650" s="24"/>
      <c r="I650" s="24"/>
      <c r="J650" s="24"/>
      <c r="L650" s="55"/>
    </row>
    <row r="651">
      <c r="B651" s="55"/>
      <c r="C651" s="24"/>
      <c r="F651" s="24"/>
      <c r="H651" s="24"/>
      <c r="I651" s="24"/>
      <c r="J651" s="24"/>
      <c r="L651" s="55"/>
    </row>
    <row r="652">
      <c r="B652" s="55"/>
      <c r="C652" s="24"/>
      <c r="F652" s="24"/>
      <c r="H652" s="24"/>
      <c r="I652" s="24"/>
      <c r="J652" s="24"/>
      <c r="L652" s="55"/>
    </row>
    <row r="653">
      <c r="B653" s="55"/>
      <c r="C653" s="24"/>
      <c r="F653" s="24"/>
      <c r="H653" s="24"/>
      <c r="I653" s="24"/>
      <c r="J653" s="24"/>
      <c r="L653" s="55"/>
    </row>
    <row r="654">
      <c r="B654" s="55"/>
      <c r="C654" s="24"/>
      <c r="F654" s="24"/>
      <c r="H654" s="24"/>
      <c r="I654" s="24"/>
      <c r="J654" s="24"/>
      <c r="L654" s="55"/>
    </row>
    <row r="655">
      <c r="B655" s="55"/>
      <c r="C655" s="24"/>
      <c r="F655" s="24"/>
      <c r="H655" s="24"/>
      <c r="I655" s="24"/>
      <c r="J655" s="24"/>
      <c r="L655" s="55"/>
    </row>
    <row r="656">
      <c r="B656" s="55"/>
      <c r="C656" s="24"/>
      <c r="F656" s="24"/>
      <c r="H656" s="24"/>
      <c r="I656" s="24"/>
      <c r="J656" s="24"/>
      <c r="L656" s="55"/>
    </row>
    <row r="657">
      <c r="B657" s="55"/>
      <c r="C657" s="24"/>
      <c r="F657" s="24"/>
      <c r="H657" s="24"/>
      <c r="I657" s="24"/>
      <c r="J657" s="24"/>
      <c r="L657" s="55"/>
    </row>
    <row r="658">
      <c r="B658" s="55"/>
      <c r="C658" s="24"/>
      <c r="F658" s="24"/>
      <c r="H658" s="24"/>
      <c r="I658" s="24"/>
      <c r="J658" s="24"/>
      <c r="L658" s="55"/>
    </row>
    <row r="659">
      <c r="B659" s="55"/>
      <c r="C659" s="24"/>
      <c r="F659" s="24"/>
      <c r="H659" s="24"/>
      <c r="I659" s="24"/>
      <c r="J659" s="24"/>
      <c r="L659" s="55"/>
    </row>
    <row r="660">
      <c r="B660" s="55"/>
      <c r="C660" s="24"/>
      <c r="F660" s="24"/>
      <c r="H660" s="24"/>
      <c r="I660" s="24"/>
      <c r="J660" s="24"/>
      <c r="L660" s="55"/>
    </row>
    <row r="661">
      <c r="B661" s="55"/>
      <c r="C661" s="24"/>
      <c r="F661" s="24"/>
      <c r="H661" s="24"/>
      <c r="I661" s="24"/>
      <c r="J661" s="24"/>
      <c r="L661" s="55"/>
    </row>
    <row r="662">
      <c r="B662" s="55"/>
      <c r="C662" s="24"/>
      <c r="F662" s="24"/>
      <c r="H662" s="24"/>
      <c r="I662" s="24"/>
      <c r="J662" s="24"/>
      <c r="L662" s="55"/>
    </row>
    <row r="663">
      <c r="B663" s="55"/>
      <c r="C663" s="24"/>
      <c r="F663" s="24"/>
      <c r="H663" s="24"/>
      <c r="I663" s="24"/>
      <c r="J663" s="24"/>
      <c r="L663" s="55"/>
    </row>
    <row r="664">
      <c r="B664" s="55"/>
      <c r="C664" s="24"/>
      <c r="F664" s="24"/>
      <c r="H664" s="24"/>
      <c r="I664" s="24"/>
      <c r="J664" s="24"/>
      <c r="L664" s="55"/>
    </row>
    <row r="665">
      <c r="B665" s="55"/>
      <c r="C665" s="24"/>
      <c r="F665" s="24"/>
      <c r="H665" s="24"/>
      <c r="I665" s="24"/>
      <c r="J665" s="24"/>
      <c r="L665" s="55"/>
    </row>
    <row r="666">
      <c r="B666" s="55"/>
      <c r="C666" s="24"/>
      <c r="F666" s="24"/>
      <c r="H666" s="24"/>
      <c r="I666" s="24"/>
      <c r="J666" s="24"/>
      <c r="L666" s="55"/>
    </row>
    <row r="667">
      <c r="B667" s="55"/>
      <c r="C667" s="24"/>
      <c r="F667" s="24"/>
      <c r="H667" s="24"/>
      <c r="I667" s="24"/>
      <c r="J667" s="24"/>
      <c r="L667" s="55"/>
    </row>
    <row r="668">
      <c r="B668" s="55"/>
      <c r="C668" s="24"/>
      <c r="F668" s="24"/>
      <c r="H668" s="24"/>
      <c r="I668" s="24"/>
      <c r="J668" s="24"/>
      <c r="L668" s="55"/>
    </row>
    <row r="669">
      <c r="B669" s="55"/>
      <c r="C669" s="24"/>
      <c r="F669" s="24"/>
      <c r="H669" s="24"/>
      <c r="I669" s="24"/>
      <c r="J669" s="24"/>
      <c r="L669" s="55"/>
    </row>
    <row r="670">
      <c r="B670" s="55"/>
      <c r="C670" s="24"/>
      <c r="F670" s="24"/>
      <c r="H670" s="24"/>
      <c r="I670" s="24"/>
      <c r="J670" s="24"/>
      <c r="L670" s="55"/>
    </row>
    <row r="671">
      <c r="B671" s="55"/>
      <c r="C671" s="24"/>
      <c r="F671" s="24"/>
      <c r="H671" s="24"/>
      <c r="I671" s="24"/>
      <c r="J671" s="24"/>
      <c r="L671" s="55"/>
    </row>
    <row r="672">
      <c r="B672" s="55"/>
      <c r="C672" s="24"/>
      <c r="F672" s="24"/>
      <c r="H672" s="24"/>
      <c r="I672" s="24"/>
      <c r="J672" s="24"/>
      <c r="L672" s="55"/>
    </row>
    <row r="673">
      <c r="B673" s="55"/>
      <c r="C673" s="24"/>
      <c r="F673" s="24"/>
      <c r="H673" s="24"/>
      <c r="I673" s="24"/>
      <c r="J673" s="24"/>
      <c r="L673" s="55"/>
    </row>
    <row r="674">
      <c r="B674" s="55"/>
      <c r="C674" s="24"/>
      <c r="F674" s="24"/>
      <c r="H674" s="24"/>
      <c r="I674" s="24"/>
      <c r="J674" s="24"/>
      <c r="L674" s="55"/>
    </row>
    <row r="675">
      <c r="B675" s="55"/>
      <c r="C675" s="24"/>
      <c r="F675" s="24"/>
      <c r="H675" s="24"/>
      <c r="I675" s="24"/>
      <c r="J675" s="24"/>
      <c r="L675" s="55"/>
    </row>
    <row r="676">
      <c r="B676" s="55"/>
      <c r="C676" s="24"/>
      <c r="F676" s="24"/>
      <c r="H676" s="24"/>
      <c r="I676" s="24"/>
      <c r="J676" s="24"/>
      <c r="L676" s="55"/>
    </row>
    <row r="677">
      <c r="B677" s="55"/>
      <c r="C677" s="24"/>
      <c r="F677" s="24"/>
      <c r="H677" s="24"/>
      <c r="I677" s="24"/>
      <c r="J677" s="24"/>
      <c r="L677" s="55"/>
    </row>
    <row r="678">
      <c r="B678" s="55"/>
      <c r="C678" s="24"/>
      <c r="F678" s="24"/>
      <c r="H678" s="24"/>
      <c r="I678" s="24"/>
      <c r="J678" s="24"/>
      <c r="L678" s="55"/>
    </row>
    <row r="679">
      <c r="B679" s="55"/>
      <c r="C679" s="24"/>
      <c r="F679" s="24"/>
      <c r="H679" s="24"/>
      <c r="I679" s="24"/>
      <c r="J679" s="24"/>
      <c r="L679" s="55"/>
    </row>
    <row r="680">
      <c r="B680" s="55"/>
      <c r="C680" s="24"/>
      <c r="F680" s="24"/>
      <c r="H680" s="24"/>
      <c r="I680" s="24"/>
      <c r="J680" s="24"/>
      <c r="L680" s="55"/>
    </row>
    <row r="681">
      <c r="B681" s="55"/>
      <c r="C681" s="24"/>
      <c r="F681" s="24"/>
      <c r="H681" s="24"/>
      <c r="I681" s="24"/>
      <c r="J681" s="24"/>
      <c r="L681" s="55"/>
    </row>
    <row r="682">
      <c r="B682" s="55"/>
      <c r="C682" s="24"/>
      <c r="F682" s="24"/>
      <c r="H682" s="24"/>
      <c r="I682" s="24"/>
      <c r="J682" s="24"/>
      <c r="L682" s="55"/>
    </row>
    <row r="683">
      <c r="B683" s="55"/>
      <c r="C683" s="24"/>
      <c r="F683" s="24"/>
      <c r="H683" s="24"/>
      <c r="I683" s="24"/>
      <c r="J683" s="24"/>
      <c r="L683" s="55"/>
    </row>
    <row r="684">
      <c r="B684" s="55"/>
      <c r="C684" s="24"/>
      <c r="F684" s="24"/>
      <c r="H684" s="24"/>
      <c r="I684" s="24"/>
      <c r="J684" s="24"/>
      <c r="L684" s="55"/>
    </row>
    <row r="685">
      <c r="B685" s="55"/>
      <c r="C685" s="24"/>
      <c r="F685" s="24"/>
      <c r="H685" s="24"/>
      <c r="I685" s="24"/>
      <c r="J685" s="24"/>
      <c r="L685" s="55"/>
    </row>
    <row r="686">
      <c r="B686" s="55"/>
      <c r="C686" s="24"/>
      <c r="F686" s="24"/>
      <c r="H686" s="24"/>
      <c r="I686" s="24"/>
      <c r="J686" s="24"/>
      <c r="L686" s="55"/>
    </row>
    <row r="687">
      <c r="B687" s="55"/>
      <c r="C687" s="24"/>
      <c r="F687" s="24"/>
      <c r="H687" s="24"/>
      <c r="I687" s="24"/>
      <c r="J687" s="24"/>
      <c r="L687" s="55"/>
    </row>
    <row r="688">
      <c r="B688" s="55"/>
      <c r="C688" s="24"/>
      <c r="F688" s="24"/>
      <c r="H688" s="24"/>
      <c r="I688" s="24"/>
      <c r="J688" s="24"/>
      <c r="L688" s="55"/>
    </row>
    <row r="689">
      <c r="B689" s="55"/>
      <c r="C689" s="24"/>
      <c r="F689" s="24"/>
      <c r="H689" s="24"/>
      <c r="I689" s="24"/>
      <c r="J689" s="24"/>
      <c r="L689" s="55"/>
    </row>
    <row r="690">
      <c r="B690" s="55"/>
      <c r="C690" s="24"/>
      <c r="F690" s="24"/>
      <c r="H690" s="24"/>
      <c r="I690" s="24"/>
      <c r="J690" s="24"/>
      <c r="L690" s="55"/>
    </row>
    <row r="691">
      <c r="B691" s="55"/>
      <c r="C691" s="24"/>
      <c r="F691" s="24"/>
      <c r="H691" s="24"/>
      <c r="I691" s="24"/>
      <c r="J691" s="24"/>
      <c r="L691" s="55"/>
    </row>
    <row r="692">
      <c r="B692" s="55"/>
      <c r="C692" s="24"/>
      <c r="F692" s="24"/>
      <c r="H692" s="24"/>
      <c r="I692" s="24"/>
      <c r="J692" s="24"/>
      <c r="L692" s="55"/>
    </row>
    <row r="693">
      <c r="B693" s="55"/>
      <c r="C693" s="24"/>
      <c r="F693" s="24"/>
      <c r="H693" s="24"/>
      <c r="I693" s="24"/>
      <c r="J693" s="24"/>
      <c r="L693" s="55"/>
    </row>
    <row r="694">
      <c r="B694" s="55"/>
      <c r="C694" s="24"/>
      <c r="F694" s="24"/>
      <c r="H694" s="24"/>
      <c r="I694" s="24"/>
      <c r="J694" s="24"/>
      <c r="L694" s="55"/>
    </row>
    <row r="695">
      <c r="B695" s="55"/>
      <c r="C695" s="24"/>
      <c r="F695" s="24"/>
      <c r="H695" s="24"/>
      <c r="I695" s="24"/>
      <c r="J695" s="24"/>
      <c r="L695" s="55"/>
    </row>
    <row r="696">
      <c r="B696" s="55"/>
      <c r="C696" s="24"/>
      <c r="F696" s="24"/>
      <c r="H696" s="24"/>
      <c r="I696" s="24"/>
      <c r="J696" s="24"/>
      <c r="L696" s="55"/>
    </row>
    <row r="697">
      <c r="B697" s="55"/>
      <c r="C697" s="24"/>
      <c r="F697" s="24"/>
      <c r="H697" s="24"/>
      <c r="I697" s="24"/>
      <c r="J697" s="24"/>
      <c r="L697" s="55"/>
    </row>
    <row r="698">
      <c r="B698" s="55"/>
      <c r="C698" s="24"/>
      <c r="F698" s="24"/>
      <c r="H698" s="24"/>
      <c r="I698" s="24"/>
      <c r="J698" s="24"/>
      <c r="L698" s="55"/>
    </row>
    <row r="699">
      <c r="B699" s="55"/>
      <c r="C699" s="24"/>
      <c r="F699" s="24"/>
      <c r="H699" s="24"/>
      <c r="I699" s="24"/>
      <c r="J699" s="24"/>
      <c r="L699" s="55"/>
    </row>
    <row r="700">
      <c r="B700" s="55"/>
      <c r="C700" s="24"/>
      <c r="F700" s="24"/>
      <c r="H700" s="24"/>
      <c r="I700" s="24"/>
      <c r="J700" s="24"/>
      <c r="L700" s="55"/>
    </row>
    <row r="701">
      <c r="B701" s="55"/>
      <c r="C701" s="24"/>
      <c r="F701" s="24"/>
      <c r="H701" s="24"/>
      <c r="I701" s="24"/>
      <c r="J701" s="24"/>
      <c r="L701" s="55"/>
    </row>
    <row r="702">
      <c r="B702" s="55"/>
      <c r="C702" s="24"/>
      <c r="F702" s="24"/>
      <c r="H702" s="24"/>
      <c r="I702" s="24"/>
      <c r="J702" s="24"/>
      <c r="L702" s="55"/>
    </row>
    <row r="703">
      <c r="B703" s="55"/>
      <c r="C703" s="24"/>
      <c r="F703" s="24"/>
      <c r="H703" s="24"/>
      <c r="I703" s="24"/>
      <c r="J703" s="24"/>
      <c r="L703" s="55"/>
    </row>
    <row r="704">
      <c r="B704" s="55"/>
      <c r="C704" s="24"/>
      <c r="F704" s="24"/>
      <c r="H704" s="24"/>
      <c r="I704" s="24"/>
      <c r="J704" s="24"/>
      <c r="L704" s="55"/>
    </row>
    <row r="705">
      <c r="B705" s="55"/>
      <c r="C705" s="24"/>
      <c r="F705" s="24"/>
      <c r="H705" s="24"/>
      <c r="I705" s="24"/>
      <c r="J705" s="24"/>
      <c r="L705" s="55"/>
    </row>
    <row r="706">
      <c r="B706" s="55"/>
      <c r="C706" s="24"/>
      <c r="F706" s="24"/>
      <c r="H706" s="24"/>
      <c r="I706" s="24"/>
      <c r="J706" s="24"/>
      <c r="L706" s="55"/>
    </row>
    <row r="707">
      <c r="B707" s="55"/>
      <c r="C707" s="24"/>
      <c r="F707" s="24"/>
      <c r="H707" s="24"/>
      <c r="I707" s="24"/>
      <c r="J707" s="24"/>
      <c r="L707" s="55"/>
    </row>
    <row r="708">
      <c r="B708" s="55"/>
      <c r="C708" s="24"/>
      <c r="F708" s="24"/>
      <c r="H708" s="24"/>
      <c r="I708" s="24"/>
      <c r="J708" s="24"/>
      <c r="L708" s="55"/>
    </row>
    <row r="709">
      <c r="B709" s="55"/>
      <c r="C709" s="24"/>
      <c r="F709" s="24"/>
      <c r="H709" s="24"/>
      <c r="I709" s="24"/>
      <c r="J709" s="24"/>
      <c r="L709" s="55"/>
    </row>
    <row r="710">
      <c r="B710" s="55"/>
      <c r="C710" s="24"/>
      <c r="F710" s="24"/>
      <c r="H710" s="24"/>
      <c r="I710" s="24"/>
      <c r="J710" s="24"/>
      <c r="L710" s="55"/>
    </row>
    <row r="711">
      <c r="B711" s="55"/>
      <c r="C711" s="24"/>
      <c r="F711" s="24"/>
      <c r="H711" s="24"/>
      <c r="I711" s="24"/>
      <c r="J711" s="24"/>
      <c r="L711" s="55"/>
    </row>
    <row r="712">
      <c r="B712" s="55"/>
      <c r="C712" s="24"/>
      <c r="F712" s="24"/>
      <c r="H712" s="24"/>
      <c r="I712" s="24"/>
      <c r="J712" s="24"/>
      <c r="L712" s="55"/>
    </row>
    <row r="713">
      <c r="B713" s="55"/>
      <c r="C713" s="24"/>
      <c r="F713" s="24"/>
      <c r="H713" s="24"/>
      <c r="I713" s="24"/>
      <c r="J713" s="24"/>
      <c r="L713" s="55"/>
    </row>
    <row r="714">
      <c r="B714" s="55"/>
      <c r="C714" s="24"/>
      <c r="F714" s="24"/>
      <c r="H714" s="24"/>
      <c r="I714" s="24"/>
      <c r="J714" s="24"/>
      <c r="L714" s="55"/>
    </row>
    <row r="715">
      <c r="B715" s="55"/>
      <c r="C715" s="24"/>
      <c r="F715" s="24"/>
      <c r="H715" s="24"/>
      <c r="I715" s="24"/>
      <c r="J715" s="24"/>
      <c r="L715" s="55"/>
    </row>
    <row r="716">
      <c r="B716" s="55"/>
      <c r="C716" s="24"/>
      <c r="F716" s="24"/>
      <c r="H716" s="24"/>
      <c r="I716" s="24"/>
      <c r="J716" s="24"/>
      <c r="L716" s="55"/>
    </row>
    <row r="717">
      <c r="B717" s="55"/>
      <c r="C717" s="24"/>
      <c r="F717" s="24"/>
      <c r="H717" s="24"/>
      <c r="I717" s="24"/>
      <c r="J717" s="24"/>
      <c r="L717" s="55"/>
    </row>
    <row r="718">
      <c r="B718" s="55"/>
      <c r="C718" s="24"/>
      <c r="F718" s="24"/>
      <c r="H718" s="24"/>
      <c r="I718" s="24"/>
      <c r="J718" s="24"/>
      <c r="L718" s="55"/>
    </row>
    <row r="719">
      <c r="B719" s="55"/>
      <c r="C719" s="24"/>
      <c r="F719" s="24"/>
      <c r="H719" s="24"/>
      <c r="I719" s="24"/>
      <c r="J719" s="24"/>
      <c r="L719" s="55"/>
    </row>
    <row r="720">
      <c r="B720" s="55"/>
      <c r="C720" s="24"/>
      <c r="F720" s="24"/>
      <c r="H720" s="24"/>
      <c r="I720" s="24"/>
      <c r="J720" s="24"/>
      <c r="L720" s="55"/>
    </row>
    <row r="721">
      <c r="B721" s="55"/>
      <c r="C721" s="24"/>
      <c r="F721" s="24"/>
      <c r="H721" s="24"/>
      <c r="I721" s="24"/>
      <c r="J721" s="24"/>
      <c r="L721" s="55"/>
    </row>
    <row r="722">
      <c r="B722" s="55"/>
      <c r="C722" s="24"/>
      <c r="F722" s="24"/>
      <c r="H722" s="24"/>
      <c r="I722" s="24"/>
      <c r="J722" s="24"/>
      <c r="L722" s="55"/>
    </row>
    <row r="723">
      <c r="B723" s="55"/>
      <c r="C723" s="24"/>
      <c r="F723" s="24"/>
      <c r="H723" s="24"/>
      <c r="I723" s="24"/>
      <c r="J723" s="24"/>
      <c r="L723" s="55"/>
    </row>
    <row r="724">
      <c r="B724" s="55"/>
      <c r="C724" s="24"/>
      <c r="F724" s="24"/>
      <c r="H724" s="24"/>
      <c r="I724" s="24"/>
      <c r="J724" s="24"/>
      <c r="L724" s="55"/>
    </row>
    <row r="725">
      <c r="B725" s="55"/>
      <c r="C725" s="24"/>
      <c r="F725" s="24"/>
      <c r="H725" s="24"/>
      <c r="I725" s="24"/>
      <c r="J725" s="24"/>
      <c r="L725" s="55"/>
    </row>
    <row r="726">
      <c r="B726" s="55"/>
      <c r="C726" s="24"/>
      <c r="F726" s="24"/>
      <c r="H726" s="24"/>
      <c r="I726" s="24"/>
      <c r="J726" s="24"/>
      <c r="L726" s="55"/>
    </row>
    <row r="727">
      <c r="B727" s="55"/>
      <c r="C727" s="24"/>
      <c r="F727" s="24"/>
      <c r="H727" s="24"/>
      <c r="I727" s="24"/>
      <c r="J727" s="24"/>
      <c r="L727" s="55"/>
    </row>
    <row r="728">
      <c r="B728" s="55"/>
      <c r="C728" s="24"/>
      <c r="F728" s="24"/>
      <c r="H728" s="24"/>
      <c r="I728" s="24"/>
      <c r="J728" s="24"/>
      <c r="L728" s="55"/>
    </row>
    <row r="729">
      <c r="B729" s="55"/>
      <c r="C729" s="24"/>
      <c r="F729" s="24"/>
      <c r="H729" s="24"/>
      <c r="I729" s="24"/>
      <c r="J729" s="24"/>
      <c r="L729" s="55"/>
    </row>
    <row r="730">
      <c r="B730" s="55"/>
      <c r="C730" s="24"/>
      <c r="F730" s="24"/>
      <c r="H730" s="24"/>
      <c r="I730" s="24"/>
      <c r="J730" s="24"/>
      <c r="L730" s="55"/>
    </row>
    <row r="731">
      <c r="B731" s="55"/>
      <c r="C731" s="24"/>
      <c r="F731" s="24"/>
      <c r="H731" s="24"/>
      <c r="I731" s="24"/>
      <c r="J731" s="24"/>
      <c r="L731" s="55"/>
    </row>
    <row r="732">
      <c r="B732" s="55"/>
      <c r="C732" s="24"/>
      <c r="F732" s="24"/>
      <c r="H732" s="24"/>
      <c r="I732" s="24"/>
      <c r="J732" s="24"/>
      <c r="L732" s="55"/>
    </row>
    <row r="733">
      <c r="B733" s="55"/>
      <c r="C733" s="24"/>
      <c r="F733" s="24"/>
      <c r="H733" s="24"/>
      <c r="I733" s="24"/>
      <c r="J733" s="24"/>
      <c r="L733" s="55"/>
    </row>
    <row r="734">
      <c r="B734" s="55"/>
      <c r="C734" s="24"/>
      <c r="F734" s="24"/>
      <c r="H734" s="24"/>
      <c r="I734" s="24"/>
      <c r="J734" s="24"/>
      <c r="L734" s="55"/>
    </row>
    <row r="735">
      <c r="B735" s="55"/>
      <c r="C735" s="24"/>
      <c r="F735" s="24"/>
      <c r="H735" s="24"/>
      <c r="I735" s="24"/>
      <c r="J735" s="24"/>
      <c r="L735" s="55"/>
    </row>
    <row r="736">
      <c r="B736" s="55"/>
      <c r="C736" s="24"/>
      <c r="F736" s="24"/>
      <c r="H736" s="24"/>
      <c r="I736" s="24"/>
      <c r="J736" s="24"/>
      <c r="L736" s="55"/>
    </row>
    <row r="737">
      <c r="B737" s="55"/>
      <c r="C737" s="24"/>
      <c r="F737" s="24"/>
      <c r="H737" s="24"/>
      <c r="I737" s="24"/>
      <c r="J737" s="24"/>
      <c r="L737" s="55"/>
    </row>
    <row r="738">
      <c r="B738" s="55"/>
      <c r="C738" s="24"/>
      <c r="F738" s="24"/>
      <c r="H738" s="24"/>
      <c r="I738" s="24"/>
      <c r="J738" s="24"/>
      <c r="L738" s="55"/>
    </row>
    <row r="739">
      <c r="B739" s="55"/>
      <c r="C739" s="24"/>
      <c r="F739" s="24"/>
      <c r="H739" s="24"/>
      <c r="I739" s="24"/>
      <c r="J739" s="24"/>
      <c r="L739" s="55"/>
    </row>
    <row r="740">
      <c r="B740" s="55"/>
      <c r="C740" s="24"/>
      <c r="F740" s="24"/>
      <c r="H740" s="24"/>
      <c r="I740" s="24"/>
      <c r="J740" s="24"/>
      <c r="L740" s="55"/>
    </row>
    <row r="741">
      <c r="B741" s="55"/>
      <c r="C741" s="24"/>
      <c r="F741" s="24"/>
      <c r="H741" s="24"/>
      <c r="I741" s="24"/>
      <c r="J741" s="24"/>
      <c r="L741" s="55"/>
    </row>
    <row r="742">
      <c r="B742" s="55"/>
      <c r="C742" s="24"/>
      <c r="F742" s="24"/>
      <c r="H742" s="24"/>
      <c r="I742" s="24"/>
      <c r="J742" s="24"/>
      <c r="L742" s="55"/>
    </row>
    <row r="743">
      <c r="B743" s="55"/>
      <c r="C743" s="24"/>
      <c r="F743" s="24"/>
      <c r="H743" s="24"/>
      <c r="I743" s="24"/>
      <c r="J743" s="24"/>
      <c r="L743" s="55"/>
    </row>
    <row r="744">
      <c r="B744" s="55"/>
      <c r="C744" s="24"/>
      <c r="F744" s="24"/>
      <c r="H744" s="24"/>
      <c r="I744" s="24"/>
      <c r="J744" s="24"/>
      <c r="L744" s="55"/>
    </row>
    <row r="745">
      <c r="B745" s="55"/>
      <c r="C745" s="24"/>
      <c r="F745" s="24"/>
      <c r="H745" s="24"/>
      <c r="I745" s="24"/>
      <c r="J745" s="24"/>
      <c r="L745" s="55"/>
    </row>
    <row r="746">
      <c r="B746" s="55"/>
      <c r="C746" s="24"/>
      <c r="F746" s="24"/>
      <c r="H746" s="24"/>
      <c r="I746" s="24"/>
      <c r="J746" s="24"/>
      <c r="L746" s="55"/>
    </row>
    <row r="747">
      <c r="B747" s="55"/>
      <c r="C747" s="24"/>
      <c r="F747" s="24"/>
      <c r="H747" s="24"/>
      <c r="I747" s="24"/>
      <c r="J747" s="24"/>
      <c r="L747" s="55"/>
    </row>
    <row r="748">
      <c r="B748" s="55"/>
      <c r="C748" s="24"/>
      <c r="F748" s="24"/>
      <c r="H748" s="24"/>
      <c r="I748" s="24"/>
      <c r="J748" s="24"/>
      <c r="L748" s="55"/>
    </row>
    <row r="749">
      <c r="B749" s="55"/>
      <c r="C749" s="24"/>
      <c r="F749" s="24"/>
      <c r="H749" s="24"/>
      <c r="I749" s="24"/>
      <c r="J749" s="24"/>
      <c r="L749" s="55"/>
    </row>
    <row r="750">
      <c r="B750" s="55"/>
      <c r="C750" s="24"/>
      <c r="F750" s="24"/>
      <c r="H750" s="24"/>
      <c r="I750" s="24"/>
      <c r="J750" s="24"/>
      <c r="L750" s="55"/>
    </row>
    <row r="751">
      <c r="B751" s="55"/>
      <c r="C751" s="24"/>
      <c r="F751" s="24"/>
      <c r="H751" s="24"/>
      <c r="I751" s="24"/>
      <c r="J751" s="24"/>
      <c r="L751" s="55"/>
    </row>
    <row r="752">
      <c r="B752" s="55"/>
      <c r="C752" s="24"/>
      <c r="F752" s="24"/>
      <c r="H752" s="24"/>
      <c r="I752" s="24"/>
      <c r="J752" s="24"/>
      <c r="L752" s="55"/>
    </row>
    <row r="753">
      <c r="B753" s="55"/>
      <c r="C753" s="24"/>
      <c r="F753" s="24"/>
      <c r="H753" s="24"/>
      <c r="I753" s="24"/>
      <c r="J753" s="24"/>
      <c r="L753" s="55"/>
    </row>
    <row r="754">
      <c r="B754" s="55"/>
      <c r="C754" s="24"/>
      <c r="F754" s="24"/>
      <c r="H754" s="24"/>
      <c r="I754" s="24"/>
      <c r="J754" s="24"/>
      <c r="L754" s="55"/>
    </row>
    <row r="755">
      <c r="B755" s="55"/>
      <c r="C755" s="24"/>
      <c r="F755" s="24"/>
      <c r="H755" s="24"/>
      <c r="I755" s="24"/>
      <c r="J755" s="24"/>
      <c r="L755" s="55"/>
    </row>
    <row r="756">
      <c r="B756" s="55"/>
      <c r="C756" s="24"/>
      <c r="F756" s="24"/>
      <c r="H756" s="24"/>
      <c r="I756" s="24"/>
      <c r="J756" s="24"/>
      <c r="L756" s="55"/>
    </row>
    <row r="757">
      <c r="B757" s="55"/>
      <c r="C757" s="24"/>
      <c r="F757" s="24"/>
      <c r="H757" s="24"/>
      <c r="I757" s="24"/>
      <c r="J757" s="24"/>
      <c r="L757" s="55"/>
    </row>
    <row r="758">
      <c r="B758" s="55"/>
      <c r="C758" s="24"/>
      <c r="F758" s="24"/>
      <c r="H758" s="24"/>
      <c r="I758" s="24"/>
      <c r="J758" s="24"/>
      <c r="L758" s="55"/>
    </row>
    <row r="759">
      <c r="B759" s="55"/>
      <c r="C759" s="24"/>
      <c r="F759" s="24"/>
      <c r="H759" s="24"/>
      <c r="I759" s="24"/>
      <c r="J759" s="24"/>
      <c r="L759" s="55"/>
    </row>
    <row r="760">
      <c r="B760" s="55"/>
      <c r="C760" s="24"/>
      <c r="F760" s="24"/>
      <c r="H760" s="24"/>
      <c r="I760" s="24"/>
      <c r="J760" s="24"/>
      <c r="L760" s="55"/>
    </row>
    <row r="761">
      <c r="B761" s="55"/>
      <c r="C761" s="24"/>
      <c r="F761" s="24"/>
      <c r="H761" s="24"/>
      <c r="I761" s="24"/>
      <c r="J761" s="24"/>
      <c r="L761" s="55"/>
    </row>
    <row r="762">
      <c r="B762" s="55"/>
      <c r="C762" s="24"/>
      <c r="F762" s="24"/>
      <c r="H762" s="24"/>
      <c r="I762" s="24"/>
      <c r="J762" s="24"/>
      <c r="L762" s="55"/>
    </row>
    <row r="763">
      <c r="B763" s="55"/>
      <c r="C763" s="24"/>
      <c r="F763" s="24"/>
      <c r="H763" s="24"/>
      <c r="I763" s="24"/>
      <c r="J763" s="24"/>
      <c r="L763" s="55"/>
    </row>
    <row r="764">
      <c r="B764" s="55"/>
      <c r="C764" s="24"/>
      <c r="F764" s="24"/>
      <c r="H764" s="24"/>
      <c r="I764" s="24"/>
      <c r="J764" s="24"/>
      <c r="L764" s="55"/>
    </row>
    <row r="765">
      <c r="B765" s="55"/>
      <c r="C765" s="24"/>
      <c r="F765" s="24"/>
      <c r="H765" s="24"/>
      <c r="I765" s="24"/>
      <c r="J765" s="24"/>
      <c r="L765" s="55"/>
    </row>
    <row r="766">
      <c r="B766" s="55"/>
      <c r="C766" s="24"/>
      <c r="F766" s="24"/>
      <c r="H766" s="24"/>
      <c r="I766" s="24"/>
      <c r="J766" s="24"/>
      <c r="L766" s="55"/>
    </row>
    <row r="767">
      <c r="B767" s="55"/>
      <c r="C767" s="24"/>
      <c r="F767" s="24"/>
      <c r="H767" s="24"/>
      <c r="I767" s="24"/>
      <c r="J767" s="24"/>
      <c r="L767" s="55"/>
    </row>
    <row r="768">
      <c r="B768" s="55"/>
      <c r="C768" s="24"/>
      <c r="F768" s="24"/>
      <c r="H768" s="24"/>
      <c r="I768" s="24"/>
      <c r="J768" s="24"/>
      <c r="L768" s="55"/>
    </row>
    <row r="769">
      <c r="B769" s="55"/>
      <c r="C769" s="24"/>
      <c r="F769" s="24"/>
      <c r="H769" s="24"/>
      <c r="I769" s="24"/>
      <c r="J769" s="24"/>
      <c r="L769" s="55"/>
    </row>
    <row r="770">
      <c r="B770" s="55"/>
      <c r="C770" s="24"/>
      <c r="F770" s="24"/>
      <c r="H770" s="24"/>
      <c r="I770" s="24"/>
      <c r="J770" s="24"/>
      <c r="L770" s="55"/>
    </row>
    <row r="771">
      <c r="B771" s="55"/>
      <c r="C771" s="24"/>
      <c r="F771" s="24"/>
      <c r="H771" s="24"/>
      <c r="I771" s="24"/>
      <c r="J771" s="24"/>
      <c r="L771" s="55"/>
    </row>
    <row r="772">
      <c r="B772" s="55"/>
      <c r="C772" s="24"/>
      <c r="F772" s="24"/>
      <c r="H772" s="24"/>
      <c r="I772" s="24"/>
      <c r="J772" s="24"/>
      <c r="L772" s="55"/>
    </row>
    <row r="773">
      <c r="B773" s="55"/>
      <c r="C773" s="24"/>
      <c r="F773" s="24"/>
      <c r="H773" s="24"/>
      <c r="I773" s="24"/>
      <c r="J773" s="24"/>
      <c r="L773" s="55"/>
    </row>
    <row r="774">
      <c r="B774" s="55"/>
      <c r="C774" s="24"/>
      <c r="F774" s="24"/>
      <c r="H774" s="24"/>
      <c r="I774" s="24"/>
      <c r="J774" s="24"/>
      <c r="L774" s="55"/>
    </row>
    <row r="775">
      <c r="B775" s="55"/>
      <c r="C775" s="24"/>
      <c r="F775" s="24"/>
      <c r="H775" s="24"/>
      <c r="I775" s="24"/>
      <c r="J775" s="24"/>
      <c r="L775" s="55"/>
    </row>
    <row r="776">
      <c r="B776" s="55"/>
      <c r="C776" s="24"/>
      <c r="F776" s="24"/>
      <c r="H776" s="24"/>
      <c r="I776" s="24"/>
      <c r="J776" s="24"/>
      <c r="L776" s="55"/>
    </row>
    <row r="777">
      <c r="B777" s="55"/>
      <c r="C777" s="24"/>
      <c r="F777" s="24"/>
      <c r="H777" s="24"/>
      <c r="I777" s="24"/>
      <c r="J777" s="24"/>
      <c r="L777" s="55"/>
    </row>
    <row r="778">
      <c r="B778" s="55"/>
      <c r="C778" s="24"/>
      <c r="F778" s="24"/>
      <c r="H778" s="24"/>
      <c r="I778" s="24"/>
      <c r="J778" s="24"/>
      <c r="L778" s="55"/>
    </row>
    <row r="779">
      <c r="B779" s="55"/>
      <c r="C779" s="24"/>
      <c r="F779" s="24"/>
      <c r="H779" s="24"/>
      <c r="I779" s="24"/>
      <c r="J779" s="24"/>
      <c r="L779" s="55"/>
    </row>
    <row r="780">
      <c r="B780" s="55"/>
      <c r="C780" s="24"/>
      <c r="F780" s="24"/>
      <c r="H780" s="24"/>
      <c r="I780" s="24"/>
      <c r="J780" s="24"/>
      <c r="L780" s="55"/>
    </row>
    <row r="781">
      <c r="B781" s="55"/>
      <c r="C781" s="24"/>
      <c r="F781" s="24"/>
      <c r="H781" s="24"/>
      <c r="I781" s="24"/>
      <c r="J781" s="24"/>
      <c r="L781" s="55"/>
    </row>
    <row r="782">
      <c r="B782" s="55"/>
      <c r="C782" s="24"/>
      <c r="F782" s="24"/>
      <c r="H782" s="24"/>
      <c r="I782" s="24"/>
      <c r="J782" s="24"/>
      <c r="L782" s="55"/>
    </row>
    <row r="783">
      <c r="B783" s="55"/>
      <c r="C783" s="24"/>
      <c r="F783" s="24"/>
      <c r="H783" s="24"/>
      <c r="I783" s="24"/>
      <c r="J783" s="24"/>
      <c r="L783" s="55"/>
    </row>
    <row r="784">
      <c r="B784" s="55"/>
      <c r="C784" s="24"/>
      <c r="F784" s="24"/>
      <c r="H784" s="24"/>
      <c r="I784" s="24"/>
      <c r="J784" s="24"/>
      <c r="L784" s="55"/>
    </row>
    <row r="785">
      <c r="B785" s="55"/>
      <c r="C785" s="24"/>
      <c r="F785" s="24"/>
      <c r="H785" s="24"/>
      <c r="I785" s="24"/>
      <c r="J785" s="24"/>
      <c r="L785" s="55"/>
    </row>
    <row r="786">
      <c r="B786" s="55"/>
      <c r="C786" s="24"/>
      <c r="F786" s="24"/>
      <c r="H786" s="24"/>
      <c r="I786" s="24"/>
      <c r="J786" s="24"/>
      <c r="L786" s="55"/>
    </row>
    <row r="787">
      <c r="B787" s="55"/>
      <c r="C787" s="24"/>
      <c r="F787" s="24"/>
      <c r="H787" s="24"/>
      <c r="I787" s="24"/>
      <c r="J787" s="24"/>
      <c r="L787" s="55"/>
    </row>
    <row r="788">
      <c r="B788" s="55"/>
      <c r="C788" s="24"/>
      <c r="F788" s="24"/>
      <c r="H788" s="24"/>
      <c r="I788" s="24"/>
      <c r="J788" s="24"/>
      <c r="L788" s="55"/>
    </row>
    <row r="789">
      <c r="B789" s="55"/>
      <c r="C789" s="24"/>
      <c r="F789" s="24"/>
      <c r="H789" s="24"/>
      <c r="I789" s="24"/>
      <c r="J789" s="24"/>
      <c r="L789" s="55"/>
    </row>
    <row r="790">
      <c r="B790" s="55"/>
      <c r="C790" s="24"/>
      <c r="F790" s="24"/>
      <c r="H790" s="24"/>
      <c r="I790" s="24"/>
      <c r="J790" s="24"/>
      <c r="L790" s="55"/>
    </row>
    <row r="791">
      <c r="B791" s="55"/>
      <c r="C791" s="24"/>
      <c r="F791" s="24"/>
      <c r="H791" s="24"/>
      <c r="I791" s="24"/>
      <c r="J791" s="24"/>
      <c r="L791" s="55"/>
    </row>
    <row r="792">
      <c r="B792" s="55"/>
      <c r="C792" s="24"/>
      <c r="F792" s="24"/>
      <c r="H792" s="24"/>
      <c r="I792" s="24"/>
      <c r="J792" s="24"/>
      <c r="L792" s="55"/>
    </row>
    <row r="793">
      <c r="B793" s="55"/>
      <c r="C793" s="24"/>
      <c r="F793" s="24"/>
      <c r="H793" s="24"/>
      <c r="I793" s="24"/>
      <c r="J793" s="24"/>
      <c r="L793" s="55"/>
    </row>
    <row r="794">
      <c r="B794" s="55"/>
      <c r="C794" s="24"/>
      <c r="F794" s="24"/>
      <c r="H794" s="24"/>
      <c r="I794" s="24"/>
      <c r="J794" s="24"/>
      <c r="L794" s="55"/>
    </row>
    <row r="795">
      <c r="B795" s="55"/>
      <c r="C795" s="24"/>
      <c r="F795" s="24"/>
      <c r="H795" s="24"/>
      <c r="I795" s="24"/>
      <c r="J795" s="24"/>
      <c r="L795" s="55"/>
    </row>
    <row r="796">
      <c r="B796" s="55"/>
      <c r="C796" s="24"/>
      <c r="F796" s="24"/>
      <c r="H796" s="24"/>
      <c r="I796" s="24"/>
      <c r="J796" s="24"/>
      <c r="L796" s="55"/>
    </row>
    <row r="797">
      <c r="B797" s="55"/>
      <c r="C797" s="24"/>
      <c r="F797" s="24"/>
      <c r="H797" s="24"/>
      <c r="I797" s="24"/>
      <c r="J797" s="24"/>
      <c r="L797" s="55"/>
    </row>
    <row r="798">
      <c r="B798" s="55"/>
      <c r="C798" s="24"/>
      <c r="F798" s="24"/>
      <c r="H798" s="24"/>
      <c r="I798" s="24"/>
      <c r="J798" s="24"/>
      <c r="L798" s="55"/>
    </row>
    <row r="799">
      <c r="B799" s="55"/>
      <c r="C799" s="24"/>
      <c r="F799" s="24"/>
      <c r="H799" s="24"/>
      <c r="I799" s="24"/>
      <c r="J799" s="24"/>
      <c r="L799" s="55"/>
    </row>
    <row r="800">
      <c r="B800" s="55"/>
      <c r="C800" s="24"/>
      <c r="F800" s="24"/>
      <c r="H800" s="24"/>
      <c r="I800" s="24"/>
      <c r="J800" s="24"/>
      <c r="L800" s="55"/>
    </row>
    <row r="801">
      <c r="B801" s="55"/>
      <c r="C801" s="24"/>
      <c r="F801" s="24"/>
      <c r="H801" s="24"/>
      <c r="I801" s="24"/>
      <c r="J801" s="24"/>
      <c r="L801" s="55"/>
    </row>
    <row r="802">
      <c r="B802" s="55"/>
      <c r="C802" s="24"/>
      <c r="F802" s="24"/>
      <c r="H802" s="24"/>
      <c r="I802" s="24"/>
      <c r="J802" s="24"/>
      <c r="L802" s="55"/>
    </row>
    <row r="803">
      <c r="B803" s="55"/>
      <c r="C803" s="24"/>
      <c r="F803" s="24"/>
      <c r="H803" s="24"/>
      <c r="I803" s="24"/>
      <c r="J803" s="24"/>
      <c r="L803" s="55"/>
    </row>
    <row r="804">
      <c r="B804" s="55"/>
      <c r="C804" s="24"/>
      <c r="F804" s="24"/>
      <c r="H804" s="24"/>
      <c r="I804" s="24"/>
      <c r="J804" s="24"/>
      <c r="L804" s="55"/>
    </row>
    <row r="805">
      <c r="B805" s="55"/>
      <c r="C805" s="24"/>
      <c r="F805" s="24"/>
      <c r="H805" s="24"/>
      <c r="I805" s="24"/>
      <c r="J805" s="24"/>
      <c r="L805" s="55"/>
    </row>
    <row r="806">
      <c r="B806" s="55"/>
      <c r="C806" s="24"/>
      <c r="F806" s="24"/>
      <c r="H806" s="24"/>
      <c r="I806" s="24"/>
      <c r="J806" s="24"/>
      <c r="L806" s="55"/>
    </row>
    <row r="807">
      <c r="B807" s="55"/>
      <c r="C807" s="24"/>
      <c r="F807" s="24"/>
      <c r="H807" s="24"/>
      <c r="I807" s="24"/>
      <c r="J807" s="24"/>
      <c r="L807" s="55"/>
    </row>
    <row r="808">
      <c r="B808" s="55"/>
      <c r="C808" s="24"/>
      <c r="F808" s="24"/>
      <c r="H808" s="24"/>
      <c r="I808" s="24"/>
      <c r="J808" s="24"/>
      <c r="L808" s="55"/>
    </row>
    <row r="809">
      <c r="B809" s="55"/>
      <c r="C809" s="24"/>
      <c r="F809" s="24"/>
      <c r="H809" s="24"/>
      <c r="I809" s="24"/>
      <c r="J809" s="24"/>
      <c r="L809" s="55"/>
    </row>
    <row r="810">
      <c r="B810" s="55"/>
      <c r="C810" s="24"/>
      <c r="F810" s="24"/>
      <c r="H810" s="24"/>
      <c r="I810" s="24"/>
      <c r="J810" s="24"/>
      <c r="L810" s="55"/>
    </row>
    <row r="811">
      <c r="B811" s="55"/>
      <c r="C811" s="24"/>
      <c r="F811" s="24"/>
      <c r="H811" s="24"/>
      <c r="I811" s="24"/>
      <c r="J811" s="24"/>
      <c r="L811" s="55"/>
    </row>
    <row r="812">
      <c r="B812" s="55"/>
      <c r="C812" s="24"/>
      <c r="F812" s="24"/>
      <c r="H812" s="24"/>
      <c r="I812" s="24"/>
      <c r="J812" s="24"/>
      <c r="L812" s="55"/>
    </row>
    <row r="813">
      <c r="B813" s="55"/>
      <c r="C813" s="24"/>
      <c r="F813" s="24"/>
      <c r="H813" s="24"/>
      <c r="I813" s="24"/>
      <c r="J813" s="24"/>
      <c r="L813" s="55"/>
    </row>
    <row r="814">
      <c r="B814" s="55"/>
      <c r="C814" s="24"/>
      <c r="F814" s="24"/>
      <c r="H814" s="24"/>
      <c r="I814" s="24"/>
      <c r="J814" s="24"/>
      <c r="L814" s="55"/>
    </row>
    <row r="815">
      <c r="B815" s="55"/>
      <c r="C815" s="24"/>
      <c r="F815" s="24"/>
      <c r="H815" s="24"/>
      <c r="I815" s="24"/>
      <c r="J815" s="24"/>
      <c r="L815" s="55"/>
    </row>
    <row r="816">
      <c r="B816" s="55"/>
      <c r="C816" s="24"/>
      <c r="F816" s="24"/>
      <c r="H816" s="24"/>
      <c r="I816" s="24"/>
      <c r="J816" s="24"/>
      <c r="L816" s="55"/>
    </row>
    <row r="817">
      <c r="B817" s="55"/>
      <c r="C817" s="24"/>
      <c r="F817" s="24"/>
      <c r="H817" s="24"/>
      <c r="I817" s="24"/>
      <c r="J817" s="24"/>
      <c r="L817" s="55"/>
    </row>
    <row r="818">
      <c r="B818" s="55"/>
      <c r="C818" s="24"/>
      <c r="F818" s="24"/>
      <c r="H818" s="24"/>
      <c r="I818" s="24"/>
      <c r="J818" s="24"/>
      <c r="L818" s="55"/>
    </row>
    <row r="819">
      <c r="B819" s="55"/>
      <c r="C819" s="24"/>
      <c r="F819" s="24"/>
      <c r="H819" s="24"/>
      <c r="I819" s="24"/>
      <c r="J819" s="24"/>
      <c r="L819" s="55"/>
    </row>
    <row r="820">
      <c r="B820" s="55"/>
      <c r="C820" s="24"/>
      <c r="F820" s="24"/>
      <c r="H820" s="24"/>
      <c r="I820" s="24"/>
      <c r="J820" s="24"/>
      <c r="L820" s="55"/>
    </row>
    <row r="821">
      <c r="B821" s="55"/>
      <c r="C821" s="24"/>
      <c r="F821" s="24"/>
      <c r="H821" s="24"/>
      <c r="I821" s="24"/>
      <c r="J821" s="24"/>
      <c r="L821" s="55"/>
    </row>
    <row r="822">
      <c r="B822" s="55"/>
      <c r="C822" s="24"/>
      <c r="F822" s="24"/>
      <c r="H822" s="24"/>
      <c r="I822" s="24"/>
      <c r="J822" s="24"/>
      <c r="L822" s="55"/>
    </row>
    <row r="823">
      <c r="B823" s="55"/>
      <c r="C823" s="24"/>
      <c r="F823" s="24"/>
      <c r="H823" s="24"/>
      <c r="I823" s="24"/>
      <c r="J823" s="24"/>
      <c r="L823" s="55"/>
    </row>
    <row r="824">
      <c r="B824" s="55"/>
      <c r="C824" s="24"/>
      <c r="F824" s="24"/>
      <c r="H824" s="24"/>
      <c r="I824" s="24"/>
      <c r="J824" s="24"/>
      <c r="L824" s="55"/>
    </row>
    <row r="825">
      <c r="B825" s="55"/>
      <c r="C825" s="24"/>
      <c r="F825" s="24"/>
      <c r="H825" s="24"/>
      <c r="I825" s="24"/>
      <c r="J825" s="24"/>
      <c r="L825" s="55"/>
    </row>
    <row r="826">
      <c r="B826" s="55"/>
      <c r="C826" s="24"/>
      <c r="F826" s="24"/>
      <c r="H826" s="24"/>
      <c r="I826" s="24"/>
      <c r="J826" s="24"/>
      <c r="L826" s="55"/>
    </row>
    <row r="827">
      <c r="B827" s="55"/>
      <c r="C827" s="24"/>
      <c r="F827" s="24"/>
      <c r="H827" s="24"/>
      <c r="I827" s="24"/>
      <c r="J827" s="24"/>
      <c r="L827" s="55"/>
    </row>
    <row r="828">
      <c r="B828" s="55"/>
      <c r="C828" s="24"/>
      <c r="F828" s="24"/>
      <c r="H828" s="24"/>
      <c r="I828" s="24"/>
      <c r="J828" s="24"/>
      <c r="L828" s="55"/>
    </row>
    <row r="829">
      <c r="B829" s="55"/>
      <c r="C829" s="24"/>
      <c r="F829" s="24"/>
      <c r="H829" s="24"/>
      <c r="I829" s="24"/>
      <c r="J829" s="24"/>
      <c r="L829" s="55"/>
    </row>
    <row r="830">
      <c r="B830" s="55"/>
      <c r="C830" s="24"/>
      <c r="F830" s="24"/>
      <c r="H830" s="24"/>
      <c r="I830" s="24"/>
      <c r="J830" s="24"/>
      <c r="L830" s="55"/>
    </row>
    <row r="831">
      <c r="B831" s="55"/>
      <c r="C831" s="24"/>
      <c r="F831" s="24"/>
      <c r="H831" s="24"/>
      <c r="I831" s="24"/>
      <c r="J831" s="24"/>
      <c r="L831" s="55"/>
    </row>
    <row r="832">
      <c r="B832" s="55"/>
      <c r="C832" s="24"/>
      <c r="F832" s="24"/>
      <c r="H832" s="24"/>
      <c r="I832" s="24"/>
      <c r="J832" s="24"/>
      <c r="L832" s="55"/>
    </row>
    <row r="833">
      <c r="B833" s="55"/>
      <c r="C833" s="24"/>
      <c r="F833" s="24"/>
      <c r="H833" s="24"/>
      <c r="I833" s="24"/>
      <c r="J833" s="24"/>
      <c r="L833" s="55"/>
    </row>
    <row r="834">
      <c r="B834" s="55"/>
      <c r="C834" s="24"/>
      <c r="F834" s="24"/>
      <c r="H834" s="24"/>
      <c r="I834" s="24"/>
      <c r="J834" s="24"/>
      <c r="L834" s="55"/>
    </row>
    <row r="835">
      <c r="B835" s="55"/>
      <c r="C835" s="24"/>
      <c r="F835" s="24"/>
      <c r="H835" s="24"/>
      <c r="I835" s="24"/>
      <c r="J835" s="24"/>
      <c r="L835" s="55"/>
    </row>
    <row r="836">
      <c r="B836" s="55"/>
      <c r="C836" s="24"/>
      <c r="F836" s="24"/>
      <c r="H836" s="24"/>
      <c r="I836" s="24"/>
      <c r="J836" s="24"/>
      <c r="L836" s="55"/>
    </row>
    <row r="837">
      <c r="B837" s="55"/>
      <c r="C837" s="24"/>
      <c r="F837" s="24"/>
      <c r="H837" s="24"/>
      <c r="I837" s="24"/>
      <c r="J837" s="24"/>
      <c r="L837" s="55"/>
    </row>
    <row r="838">
      <c r="B838" s="55"/>
      <c r="C838" s="24"/>
      <c r="F838" s="24"/>
      <c r="H838" s="24"/>
      <c r="I838" s="24"/>
      <c r="J838" s="24"/>
      <c r="L838" s="55"/>
    </row>
    <row r="839">
      <c r="B839" s="55"/>
      <c r="C839" s="24"/>
      <c r="F839" s="24"/>
      <c r="H839" s="24"/>
      <c r="I839" s="24"/>
      <c r="J839" s="24"/>
      <c r="L839" s="55"/>
    </row>
    <row r="840">
      <c r="B840" s="55"/>
      <c r="C840" s="24"/>
      <c r="F840" s="24"/>
      <c r="H840" s="24"/>
      <c r="I840" s="24"/>
      <c r="J840" s="24"/>
      <c r="L840" s="55"/>
    </row>
    <row r="841">
      <c r="B841" s="55"/>
      <c r="C841" s="24"/>
      <c r="F841" s="24"/>
      <c r="H841" s="24"/>
      <c r="I841" s="24"/>
      <c r="J841" s="24"/>
      <c r="L841" s="55"/>
    </row>
    <row r="842">
      <c r="B842" s="55"/>
      <c r="C842" s="24"/>
      <c r="F842" s="24"/>
      <c r="H842" s="24"/>
      <c r="I842" s="24"/>
      <c r="J842" s="24"/>
      <c r="L842" s="55"/>
    </row>
    <row r="843">
      <c r="B843" s="55"/>
      <c r="C843" s="24"/>
      <c r="F843" s="24"/>
      <c r="H843" s="24"/>
      <c r="I843" s="24"/>
      <c r="J843" s="24"/>
      <c r="L843" s="55"/>
    </row>
    <row r="844">
      <c r="B844" s="55"/>
      <c r="C844" s="24"/>
      <c r="F844" s="24"/>
      <c r="H844" s="24"/>
      <c r="I844" s="24"/>
      <c r="J844" s="24"/>
      <c r="L844" s="55"/>
    </row>
    <row r="845">
      <c r="B845" s="55"/>
      <c r="C845" s="24"/>
      <c r="F845" s="24"/>
      <c r="H845" s="24"/>
      <c r="I845" s="24"/>
      <c r="J845" s="24"/>
      <c r="L845" s="55"/>
    </row>
    <row r="846">
      <c r="B846" s="55"/>
      <c r="C846" s="24"/>
      <c r="F846" s="24"/>
      <c r="H846" s="24"/>
      <c r="I846" s="24"/>
      <c r="J846" s="24"/>
      <c r="L846" s="55"/>
    </row>
    <row r="847">
      <c r="B847" s="55"/>
      <c r="C847" s="24"/>
      <c r="F847" s="24"/>
      <c r="H847" s="24"/>
      <c r="I847" s="24"/>
      <c r="J847" s="24"/>
      <c r="L847" s="55"/>
    </row>
    <row r="848">
      <c r="B848" s="55"/>
      <c r="C848" s="24"/>
      <c r="F848" s="24"/>
      <c r="H848" s="24"/>
      <c r="I848" s="24"/>
      <c r="J848" s="24"/>
      <c r="L848" s="55"/>
    </row>
    <row r="849">
      <c r="B849" s="55"/>
      <c r="C849" s="24"/>
      <c r="F849" s="24"/>
      <c r="H849" s="24"/>
      <c r="I849" s="24"/>
      <c r="J849" s="24"/>
      <c r="L849" s="55"/>
    </row>
    <row r="850">
      <c r="B850" s="55"/>
      <c r="C850" s="24"/>
      <c r="F850" s="24"/>
      <c r="H850" s="24"/>
      <c r="I850" s="24"/>
      <c r="J850" s="24"/>
      <c r="L850" s="55"/>
    </row>
    <row r="851">
      <c r="B851" s="55"/>
      <c r="C851" s="24"/>
      <c r="F851" s="24"/>
      <c r="H851" s="24"/>
      <c r="I851" s="24"/>
      <c r="J851" s="24"/>
      <c r="L851" s="55"/>
    </row>
    <row r="852">
      <c r="B852" s="55"/>
      <c r="C852" s="24"/>
      <c r="F852" s="24"/>
      <c r="H852" s="24"/>
      <c r="I852" s="24"/>
      <c r="J852" s="24"/>
      <c r="L852" s="55"/>
    </row>
    <row r="853">
      <c r="B853" s="55"/>
      <c r="C853" s="24"/>
      <c r="F853" s="24"/>
      <c r="H853" s="24"/>
      <c r="I853" s="24"/>
      <c r="J853" s="24"/>
      <c r="L853" s="55"/>
    </row>
    <row r="854">
      <c r="B854" s="55"/>
      <c r="C854" s="24"/>
      <c r="F854" s="24"/>
      <c r="H854" s="24"/>
      <c r="I854" s="24"/>
      <c r="J854" s="24"/>
      <c r="L854" s="55"/>
    </row>
    <row r="855">
      <c r="B855" s="55"/>
      <c r="C855" s="24"/>
      <c r="F855" s="24"/>
      <c r="H855" s="24"/>
      <c r="I855" s="24"/>
      <c r="J855" s="24"/>
      <c r="L855" s="55"/>
    </row>
    <row r="856">
      <c r="B856" s="55"/>
      <c r="C856" s="24"/>
      <c r="F856" s="24"/>
      <c r="H856" s="24"/>
      <c r="I856" s="24"/>
      <c r="J856" s="24"/>
      <c r="L856" s="55"/>
    </row>
    <row r="857">
      <c r="B857" s="55"/>
      <c r="C857" s="24"/>
      <c r="F857" s="24"/>
      <c r="H857" s="24"/>
      <c r="I857" s="24"/>
      <c r="J857" s="24"/>
      <c r="L857" s="55"/>
    </row>
    <row r="858">
      <c r="B858" s="55"/>
      <c r="C858" s="24"/>
      <c r="F858" s="24"/>
      <c r="H858" s="24"/>
      <c r="I858" s="24"/>
      <c r="J858" s="24"/>
      <c r="L858" s="55"/>
    </row>
    <row r="859">
      <c r="B859" s="55"/>
      <c r="C859" s="24"/>
      <c r="F859" s="24"/>
      <c r="H859" s="24"/>
      <c r="I859" s="24"/>
      <c r="J859" s="24"/>
      <c r="L859" s="55"/>
    </row>
    <row r="860">
      <c r="B860" s="55"/>
      <c r="C860" s="24"/>
      <c r="F860" s="24"/>
      <c r="H860" s="24"/>
      <c r="I860" s="24"/>
      <c r="J860" s="24"/>
      <c r="L860" s="55"/>
    </row>
    <row r="861">
      <c r="B861" s="55"/>
      <c r="C861" s="24"/>
      <c r="F861" s="24"/>
      <c r="H861" s="24"/>
      <c r="I861" s="24"/>
      <c r="J861" s="24"/>
      <c r="L861" s="55"/>
    </row>
    <row r="862">
      <c r="B862" s="55"/>
      <c r="C862" s="24"/>
      <c r="F862" s="24"/>
      <c r="H862" s="24"/>
      <c r="I862" s="24"/>
      <c r="J862" s="24"/>
      <c r="L862" s="55"/>
    </row>
    <row r="863">
      <c r="B863" s="55"/>
      <c r="C863" s="24"/>
      <c r="F863" s="24"/>
      <c r="H863" s="24"/>
      <c r="I863" s="24"/>
      <c r="J863" s="24"/>
      <c r="L863" s="55"/>
    </row>
    <row r="864">
      <c r="B864" s="55"/>
      <c r="C864" s="24"/>
      <c r="F864" s="24"/>
      <c r="H864" s="24"/>
      <c r="I864" s="24"/>
      <c r="J864" s="24"/>
      <c r="L864" s="55"/>
    </row>
    <row r="865">
      <c r="B865" s="55"/>
      <c r="C865" s="24"/>
      <c r="F865" s="24"/>
      <c r="H865" s="24"/>
      <c r="I865" s="24"/>
      <c r="J865" s="24"/>
      <c r="L865" s="55"/>
    </row>
    <row r="866">
      <c r="B866" s="55"/>
      <c r="C866" s="24"/>
      <c r="F866" s="24"/>
      <c r="H866" s="24"/>
      <c r="I866" s="24"/>
      <c r="J866" s="24"/>
      <c r="L866" s="55"/>
    </row>
    <row r="867">
      <c r="B867" s="55"/>
      <c r="C867" s="24"/>
      <c r="F867" s="24"/>
      <c r="H867" s="24"/>
      <c r="I867" s="24"/>
      <c r="J867" s="24"/>
      <c r="L867" s="55"/>
    </row>
    <row r="868">
      <c r="B868" s="55"/>
      <c r="C868" s="24"/>
      <c r="F868" s="24"/>
      <c r="H868" s="24"/>
      <c r="I868" s="24"/>
      <c r="J868" s="24"/>
      <c r="L868" s="55"/>
    </row>
    <row r="869">
      <c r="B869" s="55"/>
      <c r="C869" s="24"/>
      <c r="F869" s="24"/>
      <c r="H869" s="24"/>
      <c r="I869" s="24"/>
      <c r="J869" s="24"/>
      <c r="L869" s="55"/>
    </row>
    <row r="870">
      <c r="B870" s="55"/>
      <c r="C870" s="24"/>
      <c r="F870" s="24"/>
      <c r="H870" s="24"/>
      <c r="I870" s="24"/>
      <c r="J870" s="24"/>
      <c r="L870" s="55"/>
    </row>
    <row r="871">
      <c r="B871" s="55"/>
      <c r="C871" s="24"/>
      <c r="F871" s="24"/>
      <c r="H871" s="24"/>
      <c r="I871" s="24"/>
      <c r="J871" s="24"/>
      <c r="L871" s="55"/>
    </row>
    <row r="872">
      <c r="B872" s="55"/>
      <c r="C872" s="24"/>
      <c r="F872" s="24"/>
      <c r="H872" s="24"/>
      <c r="I872" s="24"/>
      <c r="J872" s="24"/>
      <c r="L872" s="55"/>
    </row>
    <row r="873">
      <c r="B873" s="55"/>
      <c r="C873" s="24"/>
      <c r="F873" s="24"/>
      <c r="H873" s="24"/>
      <c r="I873" s="24"/>
      <c r="J873" s="24"/>
      <c r="L873" s="55"/>
    </row>
    <row r="874">
      <c r="B874" s="55"/>
      <c r="C874" s="24"/>
      <c r="F874" s="24"/>
      <c r="H874" s="24"/>
      <c r="I874" s="24"/>
      <c r="J874" s="24"/>
      <c r="L874" s="55"/>
    </row>
    <row r="875">
      <c r="B875" s="55"/>
      <c r="C875" s="24"/>
      <c r="F875" s="24"/>
      <c r="H875" s="24"/>
      <c r="I875" s="24"/>
      <c r="J875" s="24"/>
      <c r="L875" s="55"/>
    </row>
    <row r="876">
      <c r="B876" s="55"/>
      <c r="C876" s="24"/>
      <c r="F876" s="24"/>
      <c r="H876" s="24"/>
      <c r="I876" s="24"/>
      <c r="J876" s="24"/>
      <c r="L876" s="55"/>
    </row>
    <row r="877">
      <c r="B877" s="55"/>
      <c r="C877" s="24"/>
      <c r="F877" s="24"/>
      <c r="H877" s="24"/>
      <c r="I877" s="24"/>
      <c r="J877" s="24"/>
      <c r="L877" s="55"/>
    </row>
    <row r="878">
      <c r="B878" s="55"/>
      <c r="C878" s="24"/>
      <c r="F878" s="24"/>
      <c r="H878" s="24"/>
      <c r="I878" s="24"/>
      <c r="J878" s="24"/>
      <c r="L878" s="55"/>
    </row>
    <row r="879">
      <c r="B879" s="55"/>
      <c r="C879" s="24"/>
      <c r="F879" s="24"/>
      <c r="H879" s="24"/>
      <c r="I879" s="24"/>
      <c r="J879" s="24"/>
      <c r="L879" s="55"/>
    </row>
    <row r="880">
      <c r="B880" s="55"/>
      <c r="C880" s="24"/>
      <c r="F880" s="24"/>
      <c r="H880" s="24"/>
      <c r="I880" s="24"/>
      <c r="J880" s="24"/>
      <c r="L880" s="55"/>
    </row>
    <row r="881">
      <c r="B881" s="55"/>
      <c r="C881" s="24"/>
      <c r="F881" s="24"/>
      <c r="H881" s="24"/>
      <c r="I881" s="24"/>
      <c r="J881" s="24"/>
      <c r="L881" s="55"/>
    </row>
    <row r="882">
      <c r="B882" s="55"/>
      <c r="C882" s="24"/>
      <c r="F882" s="24"/>
      <c r="H882" s="24"/>
      <c r="I882" s="24"/>
      <c r="J882" s="24"/>
      <c r="L882" s="55"/>
    </row>
    <row r="883">
      <c r="B883" s="55"/>
      <c r="C883" s="24"/>
      <c r="F883" s="24"/>
      <c r="H883" s="24"/>
      <c r="I883" s="24"/>
      <c r="J883" s="24"/>
      <c r="L883" s="55"/>
    </row>
    <row r="884">
      <c r="B884" s="55"/>
      <c r="C884" s="24"/>
      <c r="F884" s="24"/>
      <c r="H884" s="24"/>
      <c r="I884" s="24"/>
      <c r="J884" s="24"/>
      <c r="L884" s="55"/>
    </row>
    <row r="885">
      <c r="B885" s="55"/>
      <c r="C885" s="24"/>
      <c r="F885" s="24"/>
      <c r="H885" s="24"/>
      <c r="I885" s="24"/>
      <c r="J885" s="24"/>
      <c r="L885" s="55"/>
    </row>
    <row r="886">
      <c r="B886" s="55"/>
      <c r="C886" s="24"/>
      <c r="F886" s="24"/>
      <c r="H886" s="24"/>
      <c r="I886" s="24"/>
      <c r="J886" s="24"/>
      <c r="L886" s="55"/>
    </row>
    <row r="887">
      <c r="B887" s="55"/>
      <c r="C887" s="24"/>
      <c r="F887" s="24"/>
      <c r="H887" s="24"/>
      <c r="I887" s="24"/>
      <c r="J887" s="24"/>
      <c r="L887" s="55"/>
    </row>
    <row r="888">
      <c r="B888" s="55"/>
      <c r="C888" s="24"/>
      <c r="F888" s="24"/>
      <c r="H888" s="24"/>
      <c r="I888" s="24"/>
      <c r="J888" s="24"/>
      <c r="L888" s="55"/>
    </row>
    <row r="889">
      <c r="B889" s="55"/>
      <c r="C889" s="24"/>
      <c r="F889" s="24"/>
      <c r="H889" s="24"/>
      <c r="I889" s="24"/>
      <c r="J889" s="24"/>
      <c r="L889" s="55"/>
    </row>
    <row r="890">
      <c r="B890" s="55"/>
      <c r="C890" s="24"/>
      <c r="F890" s="24"/>
      <c r="H890" s="24"/>
      <c r="I890" s="24"/>
      <c r="J890" s="24"/>
      <c r="L890" s="55"/>
    </row>
    <row r="891">
      <c r="B891" s="55"/>
      <c r="C891" s="24"/>
      <c r="F891" s="24"/>
      <c r="H891" s="24"/>
      <c r="I891" s="24"/>
      <c r="J891" s="24"/>
      <c r="L891" s="55"/>
    </row>
    <row r="892">
      <c r="B892" s="55"/>
      <c r="C892" s="24"/>
      <c r="F892" s="24"/>
      <c r="H892" s="24"/>
      <c r="I892" s="24"/>
      <c r="J892" s="24"/>
      <c r="L892" s="55"/>
    </row>
    <row r="893">
      <c r="B893" s="55"/>
      <c r="C893" s="24"/>
      <c r="F893" s="24"/>
      <c r="H893" s="24"/>
      <c r="I893" s="24"/>
      <c r="J893" s="24"/>
      <c r="L893" s="55"/>
    </row>
    <row r="894">
      <c r="B894" s="55"/>
      <c r="C894" s="24"/>
      <c r="F894" s="24"/>
      <c r="H894" s="24"/>
      <c r="I894" s="24"/>
      <c r="J894" s="24"/>
      <c r="L894" s="55"/>
    </row>
    <row r="895">
      <c r="B895" s="55"/>
      <c r="C895" s="24"/>
      <c r="F895" s="24"/>
      <c r="H895" s="24"/>
      <c r="I895" s="24"/>
      <c r="J895" s="24"/>
      <c r="L895" s="55"/>
    </row>
    <row r="896">
      <c r="B896" s="55"/>
      <c r="C896" s="24"/>
      <c r="F896" s="24"/>
      <c r="H896" s="24"/>
      <c r="I896" s="24"/>
      <c r="J896" s="24"/>
      <c r="L896" s="55"/>
    </row>
    <row r="897">
      <c r="B897" s="55"/>
      <c r="C897" s="24"/>
      <c r="F897" s="24"/>
      <c r="H897" s="24"/>
      <c r="I897" s="24"/>
      <c r="J897" s="24"/>
      <c r="L897" s="55"/>
    </row>
    <row r="898">
      <c r="B898" s="55"/>
      <c r="C898" s="24"/>
      <c r="F898" s="24"/>
      <c r="H898" s="24"/>
      <c r="I898" s="24"/>
      <c r="J898" s="24"/>
      <c r="L898" s="55"/>
    </row>
    <row r="899">
      <c r="B899" s="55"/>
      <c r="C899" s="24"/>
      <c r="F899" s="24"/>
      <c r="H899" s="24"/>
      <c r="I899" s="24"/>
      <c r="J899" s="24"/>
      <c r="L899" s="55"/>
    </row>
    <row r="900">
      <c r="B900" s="55"/>
      <c r="C900" s="24"/>
      <c r="F900" s="24"/>
      <c r="H900" s="24"/>
      <c r="I900" s="24"/>
      <c r="J900" s="24"/>
      <c r="L900" s="55"/>
    </row>
    <row r="901">
      <c r="B901" s="55"/>
      <c r="C901" s="24"/>
      <c r="F901" s="24"/>
      <c r="H901" s="24"/>
      <c r="I901" s="24"/>
      <c r="J901" s="24"/>
      <c r="L901" s="55"/>
    </row>
    <row r="902">
      <c r="B902" s="55"/>
      <c r="C902" s="24"/>
      <c r="F902" s="24"/>
      <c r="H902" s="24"/>
      <c r="I902" s="24"/>
      <c r="J902" s="24"/>
      <c r="L902" s="55"/>
    </row>
    <row r="903">
      <c r="B903" s="55"/>
      <c r="C903" s="24"/>
      <c r="F903" s="24"/>
      <c r="H903" s="24"/>
      <c r="I903" s="24"/>
      <c r="J903" s="24"/>
      <c r="L903" s="55"/>
    </row>
    <row r="904">
      <c r="B904" s="55"/>
      <c r="C904" s="24"/>
      <c r="F904" s="24"/>
      <c r="H904" s="24"/>
      <c r="I904" s="24"/>
      <c r="J904" s="24"/>
      <c r="L904" s="55"/>
    </row>
    <row r="905">
      <c r="B905" s="55"/>
      <c r="C905" s="24"/>
      <c r="F905" s="24"/>
      <c r="H905" s="24"/>
      <c r="I905" s="24"/>
      <c r="J905" s="24"/>
      <c r="L905" s="55"/>
    </row>
    <row r="906">
      <c r="B906" s="55"/>
      <c r="C906" s="24"/>
      <c r="F906" s="24"/>
      <c r="H906" s="24"/>
      <c r="I906" s="24"/>
      <c r="J906" s="24"/>
      <c r="L906" s="55"/>
    </row>
    <row r="907">
      <c r="B907" s="55"/>
      <c r="C907" s="24"/>
      <c r="F907" s="24"/>
      <c r="H907" s="24"/>
      <c r="I907" s="24"/>
      <c r="J907" s="24"/>
      <c r="L907" s="55"/>
    </row>
    <row r="908">
      <c r="B908" s="55"/>
      <c r="C908" s="24"/>
      <c r="F908" s="24"/>
      <c r="H908" s="24"/>
      <c r="I908" s="24"/>
      <c r="J908" s="24"/>
      <c r="L908" s="55"/>
    </row>
    <row r="909">
      <c r="B909" s="55"/>
      <c r="C909" s="24"/>
      <c r="F909" s="24"/>
      <c r="H909" s="24"/>
      <c r="I909" s="24"/>
      <c r="J909" s="24"/>
      <c r="L909" s="55"/>
    </row>
    <row r="910">
      <c r="B910" s="55"/>
      <c r="C910" s="24"/>
      <c r="F910" s="24"/>
      <c r="H910" s="24"/>
      <c r="I910" s="24"/>
      <c r="J910" s="24"/>
      <c r="L910" s="55"/>
    </row>
    <row r="911">
      <c r="B911" s="55"/>
      <c r="C911" s="24"/>
      <c r="F911" s="24"/>
      <c r="H911" s="24"/>
      <c r="I911" s="24"/>
      <c r="J911" s="24"/>
      <c r="L911" s="55"/>
    </row>
    <row r="912">
      <c r="B912" s="55"/>
      <c r="C912" s="24"/>
      <c r="F912" s="24"/>
      <c r="H912" s="24"/>
      <c r="I912" s="24"/>
      <c r="J912" s="24"/>
      <c r="L912" s="55"/>
    </row>
    <row r="913">
      <c r="B913" s="55"/>
      <c r="C913" s="24"/>
      <c r="F913" s="24"/>
      <c r="H913" s="24"/>
      <c r="I913" s="24"/>
      <c r="J913" s="24"/>
      <c r="L913" s="55"/>
    </row>
    <row r="914">
      <c r="B914" s="55"/>
      <c r="C914" s="24"/>
      <c r="F914" s="24"/>
      <c r="H914" s="24"/>
      <c r="I914" s="24"/>
      <c r="J914" s="24"/>
      <c r="L914" s="55"/>
    </row>
    <row r="915">
      <c r="B915" s="55"/>
      <c r="C915" s="24"/>
      <c r="F915" s="24"/>
      <c r="H915" s="24"/>
      <c r="I915" s="24"/>
      <c r="J915" s="24"/>
      <c r="L915" s="55"/>
    </row>
    <row r="916">
      <c r="B916" s="55"/>
      <c r="C916" s="24"/>
      <c r="F916" s="24"/>
      <c r="H916" s="24"/>
      <c r="I916" s="24"/>
      <c r="J916" s="24"/>
      <c r="L916" s="55"/>
    </row>
    <row r="917">
      <c r="B917" s="55"/>
      <c r="C917" s="24"/>
      <c r="F917" s="24"/>
      <c r="H917" s="24"/>
      <c r="I917" s="24"/>
      <c r="J917" s="24"/>
      <c r="L917" s="55"/>
    </row>
    <row r="918">
      <c r="B918" s="55"/>
      <c r="C918" s="24"/>
      <c r="F918" s="24"/>
      <c r="H918" s="24"/>
      <c r="I918" s="24"/>
      <c r="J918" s="24"/>
      <c r="L918" s="55"/>
    </row>
    <row r="919">
      <c r="B919" s="55"/>
      <c r="C919" s="24"/>
      <c r="F919" s="24"/>
      <c r="H919" s="24"/>
      <c r="I919" s="24"/>
      <c r="J919" s="24"/>
      <c r="L919" s="55"/>
    </row>
    <row r="920">
      <c r="B920" s="55"/>
      <c r="C920" s="24"/>
      <c r="F920" s="24"/>
      <c r="H920" s="24"/>
      <c r="I920" s="24"/>
      <c r="J920" s="24"/>
      <c r="L920" s="55"/>
    </row>
    <row r="921">
      <c r="B921" s="55"/>
      <c r="C921" s="24"/>
      <c r="F921" s="24"/>
      <c r="H921" s="24"/>
      <c r="I921" s="24"/>
      <c r="J921" s="24"/>
      <c r="L921" s="55"/>
    </row>
    <row r="922">
      <c r="B922" s="55"/>
      <c r="C922" s="24"/>
      <c r="F922" s="24"/>
      <c r="H922" s="24"/>
      <c r="I922" s="24"/>
      <c r="J922" s="24"/>
      <c r="L922" s="55"/>
    </row>
    <row r="923">
      <c r="B923" s="55"/>
      <c r="C923" s="24"/>
      <c r="F923" s="24"/>
      <c r="H923" s="24"/>
      <c r="I923" s="24"/>
      <c r="J923" s="24"/>
      <c r="L923" s="55"/>
    </row>
    <row r="924">
      <c r="B924" s="55"/>
      <c r="C924" s="24"/>
      <c r="F924" s="24"/>
      <c r="H924" s="24"/>
      <c r="I924" s="24"/>
      <c r="J924" s="24"/>
      <c r="L924" s="55"/>
    </row>
    <row r="925">
      <c r="B925" s="55"/>
      <c r="C925" s="24"/>
      <c r="F925" s="24"/>
      <c r="H925" s="24"/>
      <c r="I925" s="24"/>
      <c r="J925" s="24"/>
      <c r="L925" s="55"/>
    </row>
    <row r="926">
      <c r="B926" s="55"/>
      <c r="C926" s="24"/>
      <c r="F926" s="24"/>
      <c r="H926" s="24"/>
      <c r="I926" s="24"/>
      <c r="J926" s="24"/>
      <c r="L926" s="55"/>
    </row>
    <row r="927">
      <c r="B927" s="55"/>
      <c r="C927" s="24"/>
      <c r="F927" s="24"/>
      <c r="H927" s="24"/>
      <c r="I927" s="24"/>
      <c r="J927" s="24"/>
      <c r="L927" s="55"/>
    </row>
    <row r="928">
      <c r="B928" s="55"/>
      <c r="C928" s="24"/>
      <c r="F928" s="24"/>
      <c r="H928" s="24"/>
      <c r="I928" s="24"/>
      <c r="J928" s="24"/>
      <c r="L928" s="55"/>
    </row>
    <row r="929">
      <c r="B929" s="55"/>
      <c r="C929" s="24"/>
      <c r="F929" s="24"/>
      <c r="H929" s="24"/>
      <c r="I929" s="24"/>
      <c r="J929" s="24"/>
      <c r="L929" s="55"/>
    </row>
    <row r="930">
      <c r="B930" s="55"/>
      <c r="C930" s="24"/>
      <c r="F930" s="24"/>
      <c r="H930" s="24"/>
      <c r="I930" s="24"/>
      <c r="J930" s="24"/>
      <c r="L930" s="55"/>
    </row>
    <row r="931">
      <c r="B931" s="55"/>
      <c r="C931" s="24"/>
      <c r="F931" s="24"/>
      <c r="H931" s="24"/>
      <c r="I931" s="24"/>
      <c r="J931" s="24"/>
      <c r="L931" s="55"/>
    </row>
    <row r="932">
      <c r="B932" s="55"/>
      <c r="C932" s="24"/>
      <c r="F932" s="24"/>
      <c r="H932" s="24"/>
      <c r="I932" s="24"/>
      <c r="J932" s="24"/>
      <c r="L932" s="55"/>
    </row>
    <row r="933">
      <c r="B933" s="55"/>
      <c r="C933" s="24"/>
      <c r="F933" s="24"/>
      <c r="H933" s="24"/>
      <c r="I933" s="24"/>
      <c r="J933" s="24"/>
      <c r="L933" s="55"/>
    </row>
    <row r="934">
      <c r="B934" s="55"/>
      <c r="C934" s="24"/>
      <c r="F934" s="24"/>
      <c r="H934" s="24"/>
      <c r="I934" s="24"/>
      <c r="J934" s="24"/>
      <c r="L934" s="55"/>
    </row>
    <row r="935">
      <c r="B935" s="55"/>
      <c r="C935" s="24"/>
      <c r="F935" s="24"/>
      <c r="H935" s="24"/>
      <c r="I935" s="24"/>
      <c r="J935" s="24"/>
      <c r="L935" s="55"/>
    </row>
    <row r="936">
      <c r="B936" s="55"/>
      <c r="C936" s="24"/>
      <c r="F936" s="24"/>
      <c r="H936" s="24"/>
      <c r="I936" s="24"/>
      <c r="J936" s="24"/>
      <c r="L936" s="55"/>
    </row>
    <row r="937">
      <c r="B937" s="55"/>
      <c r="C937" s="24"/>
      <c r="F937" s="24"/>
      <c r="H937" s="24"/>
      <c r="I937" s="24"/>
      <c r="J937" s="24"/>
      <c r="L937" s="55"/>
    </row>
    <row r="938">
      <c r="B938" s="55"/>
      <c r="C938" s="24"/>
      <c r="F938" s="24"/>
      <c r="H938" s="24"/>
      <c r="I938" s="24"/>
      <c r="J938" s="24"/>
      <c r="L938" s="55"/>
    </row>
    <row r="939">
      <c r="B939" s="55"/>
      <c r="C939" s="24"/>
      <c r="F939" s="24"/>
      <c r="H939" s="24"/>
      <c r="I939" s="24"/>
      <c r="J939" s="24"/>
      <c r="L939" s="55"/>
    </row>
    <row r="940">
      <c r="B940" s="55"/>
      <c r="C940" s="24"/>
      <c r="F940" s="24"/>
      <c r="H940" s="24"/>
      <c r="I940" s="24"/>
      <c r="J940" s="24"/>
      <c r="L940" s="55"/>
    </row>
    <row r="941">
      <c r="B941" s="55"/>
      <c r="C941" s="24"/>
      <c r="F941" s="24"/>
      <c r="H941" s="24"/>
      <c r="I941" s="24"/>
      <c r="J941" s="24"/>
      <c r="L941" s="55"/>
    </row>
    <row r="942">
      <c r="B942" s="55"/>
      <c r="C942" s="24"/>
      <c r="F942" s="24"/>
      <c r="H942" s="24"/>
      <c r="I942" s="24"/>
      <c r="J942" s="24"/>
      <c r="L942" s="55"/>
    </row>
    <row r="943">
      <c r="B943" s="55"/>
      <c r="C943" s="24"/>
      <c r="F943" s="24"/>
      <c r="H943" s="24"/>
      <c r="I943" s="24"/>
      <c r="J943" s="24"/>
      <c r="L943" s="55"/>
    </row>
    <row r="944">
      <c r="B944" s="55"/>
      <c r="C944" s="24"/>
      <c r="F944" s="24"/>
      <c r="H944" s="24"/>
      <c r="I944" s="24"/>
      <c r="J944" s="24"/>
      <c r="L944" s="55"/>
    </row>
    <row r="945">
      <c r="B945" s="55"/>
      <c r="C945" s="24"/>
      <c r="F945" s="24"/>
      <c r="H945" s="24"/>
      <c r="I945" s="24"/>
      <c r="J945" s="24"/>
      <c r="L945" s="55"/>
    </row>
    <row r="946">
      <c r="B946" s="55"/>
      <c r="C946" s="24"/>
      <c r="F946" s="24"/>
      <c r="H946" s="24"/>
      <c r="I946" s="24"/>
      <c r="J946" s="24"/>
      <c r="L946" s="55"/>
    </row>
    <row r="947">
      <c r="B947" s="55"/>
      <c r="C947" s="24"/>
      <c r="F947" s="24"/>
      <c r="H947" s="24"/>
      <c r="I947" s="24"/>
      <c r="J947" s="24"/>
      <c r="L947" s="55"/>
    </row>
    <row r="948">
      <c r="B948" s="55"/>
      <c r="C948" s="24"/>
      <c r="F948" s="24"/>
      <c r="H948" s="24"/>
      <c r="I948" s="24"/>
      <c r="J948" s="24"/>
      <c r="L948" s="55"/>
    </row>
    <row r="949">
      <c r="B949" s="55"/>
      <c r="C949" s="24"/>
      <c r="F949" s="24"/>
      <c r="H949" s="24"/>
      <c r="I949" s="24"/>
      <c r="J949" s="24"/>
      <c r="L949" s="55"/>
    </row>
    <row r="950">
      <c r="B950" s="55"/>
      <c r="C950" s="24"/>
      <c r="F950" s="24"/>
      <c r="H950" s="24"/>
      <c r="I950" s="24"/>
      <c r="J950" s="24"/>
      <c r="L950" s="55"/>
    </row>
    <row r="951">
      <c r="B951" s="55"/>
      <c r="C951" s="24"/>
      <c r="F951" s="24"/>
      <c r="H951" s="24"/>
      <c r="I951" s="24"/>
      <c r="J951" s="24"/>
      <c r="L951" s="55"/>
    </row>
    <row r="952">
      <c r="B952" s="55"/>
      <c r="C952" s="24"/>
      <c r="F952" s="24"/>
      <c r="H952" s="24"/>
      <c r="I952" s="24"/>
      <c r="J952" s="24"/>
      <c r="L952" s="55"/>
    </row>
    <row r="953">
      <c r="B953" s="55"/>
      <c r="C953" s="24"/>
      <c r="F953" s="24"/>
      <c r="H953" s="24"/>
      <c r="I953" s="24"/>
      <c r="J953" s="24"/>
      <c r="L953" s="55"/>
    </row>
    <row r="954">
      <c r="B954" s="55"/>
      <c r="C954" s="24"/>
      <c r="F954" s="24"/>
      <c r="H954" s="24"/>
      <c r="I954" s="24"/>
      <c r="J954" s="24"/>
      <c r="L954" s="55"/>
    </row>
    <row r="955">
      <c r="B955" s="55"/>
      <c r="C955" s="24"/>
      <c r="F955" s="24"/>
      <c r="H955" s="24"/>
      <c r="I955" s="24"/>
      <c r="J955" s="24"/>
      <c r="L955" s="55"/>
    </row>
    <row r="956">
      <c r="B956" s="55"/>
      <c r="C956" s="24"/>
      <c r="F956" s="24"/>
      <c r="H956" s="24"/>
      <c r="I956" s="24"/>
      <c r="J956" s="24"/>
      <c r="L956" s="55"/>
    </row>
    <row r="957">
      <c r="B957" s="55"/>
      <c r="C957" s="24"/>
      <c r="F957" s="24"/>
      <c r="H957" s="24"/>
      <c r="I957" s="24"/>
      <c r="J957" s="24"/>
      <c r="L957" s="55"/>
    </row>
    <row r="958">
      <c r="B958" s="55"/>
      <c r="C958" s="24"/>
      <c r="F958" s="24"/>
      <c r="H958" s="24"/>
      <c r="I958" s="24"/>
      <c r="J958" s="24"/>
      <c r="L958" s="55"/>
    </row>
    <row r="959">
      <c r="B959" s="55"/>
      <c r="C959" s="24"/>
      <c r="F959" s="24"/>
      <c r="H959" s="24"/>
      <c r="I959" s="24"/>
      <c r="J959" s="24"/>
      <c r="L959" s="55"/>
    </row>
    <row r="960">
      <c r="B960" s="55"/>
      <c r="C960" s="24"/>
      <c r="F960" s="24"/>
      <c r="H960" s="24"/>
      <c r="I960" s="24"/>
      <c r="J960" s="24"/>
      <c r="L960" s="55"/>
    </row>
    <row r="961">
      <c r="B961" s="55"/>
      <c r="C961" s="24"/>
      <c r="F961" s="24"/>
      <c r="H961" s="24"/>
      <c r="I961" s="24"/>
      <c r="J961" s="24"/>
      <c r="L961" s="55"/>
    </row>
    <row r="962">
      <c r="B962" s="55"/>
      <c r="C962" s="24"/>
      <c r="F962" s="24"/>
      <c r="H962" s="24"/>
      <c r="I962" s="24"/>
      <c r="J962" s="24"/>
      <c r="L962" s="55"/>
    </row>
    <row r="963">
      <c r="B963" s="55"/>
      <c r="C963" s="24"/>
      <c r="F963" s="24"/>
      <c r="H963" s="24"/>
      <c r="I963" s="24"/>
      <c r="J963" s="24"/>
      <c r="L963" s="55"/>
    </row>
    <row r="964">
      <c r="B964" s="55"/>
      <c r="C964" s="24"/>
      <c r="F964" s="24"/>
      <c r="H964" s="24"/>
      <c r="I964" s="24"/>
      <c r="J964" s="24"/>
      <c r="L964" s="55"/>
    </row>
    <row r="965">
      <c r="B965" s="55"/>
      <c r="C965" s="24"/>
      <c r="F965" s="24"/>
      <c r="H965" s="24"/>
      <c r="I965" s="24"/>
      <c r="J965" s="24"/>
      <c r="L965" s="55"/>
    </row>
    <row r="966">
      <c r="B966" s="55"/>
      <c r="C966" s="24"/>
      <c r="F966" s="24"/>
      <c r="H966" s="24"/>
      <c r="I966" s="24"/>
      <c r="J966" s="24"/>
      <c r="L966" s="55"/>
    </row>
    <row r="967">
      <c r="B967" s="55"/>
      <c r="C967" s="24"/>
      <c r="F967" s="24"/>
      <c r="H967" s="24"/>
      <c r="I967" s="24"/>
      <c r="J967" s="24"/>
      <c r="L967" s="55"/>
    </row>
    <row r="968">
      <c r="B968" s="55"/>
      <c r="C968" s="24"/>
      <c r="F968" s="24"/>
      <c r="H968" s="24"/>
      <c r="I968" s="24"/>
      <c r="J968" s="24"/>
      <c r="L968" s="55"/>
    </row>
    <row r="969">
      <c r="B969" s="55"/>
      <c r="C969" s="24"/>
      <c r="F969" s="24"/>
      <c r="H969" s="24"/>
      <c r="I969" s="24"/>
      <c r="J969" s="24"/>
      <c r="L969" s="55"/>
    </row>
    <row r="970">
      <c r="B970" s="55"/>
      <c r="C970" s="24"/>
      <c r="F970" s="24"/>
      <c r="H970" s="24"/>
      <c r="I970" s="24"/>
      <c r="J970" s="24"/>
      <c r="L970" s="55"/>
    </row>
    <row r="971">
      <c r="B971" s="55"/>
      <c r="C971" s="24"/>
      <c r="F971" s="24"/>
      <c r="H971" s="24"/>
      <c r="I971" s="24"/>
      <c r="J971" s="24"/>
      <c r="L971" s="55"/>
    </row>
    <row r="972">
      <c r="B972" s="55"/>
      <c r="C972" s="24"/>
      <c r="F972" s="24"/>
      <c r="H972" s="24"/>
      <c r="I972" s="24"/>
      <c r="J972" s="24"/>
      <c r="L972" s="55"/>
    </row>
    <row r="973">
      <c r="B973" s="55"/>
      <c r="C973" s="24"/>
      <c r="F973" s="24"/>
      <c r="H973" s="24"/>
      <c r="I973" s="24"/>
      <c r="J973" s="24"/>
      <c r="L973" s="55"/>
    </row>
    <row r="974">
      <c r="B974" s="55"/>
      <c r="C974" s="24"/>
      <c r="F974" s="24"/>
      <c r="H974" s="24"/>
      <c r="I974" s="24"/>
      <c r="J974" s="24"/>
      <c r="L974" s="55"/>
    </row>
    <row r="975">
      <c r="B975" s="55"/>
      <c r="C975" s="24"/>
      <c r="F975" s="24"/>
      <c r="H975" s="24"/>
      <c r="I975" s="24"/>
      <c r="J975" s="24"/>
      <c r="L975" s="55"/>
    </row>
    <row r="976">
      <c r="B976" s="55"/>
      <c r="C976" s="24"/>
      <c r="F976" s="24"/>
      <c r="H976" s="24"/>
      <c r="I976" s="24"/>
      <c r="J976" s="24"/>
      <c r="L976" s="55"/>
    </row>
    <row r="977">
      <c r="B977" s="55"/>
      <c r="C977" s="24"/>
      <c r="F977" s="24"/>
      <c r="H977" s="24"/>
      <c r="I977" s="24"/>
      <c r="J977" s="24"/>
      <c r="L977" s="55"/>
    </row>
    <row r="978">
      <c r="B978" s="55"/>
      <c r="C978" s="24"/>
      <c r="F978" s="24"/>
      <c r="H978" s="24"/>
      <c r="I978" s="24"/>
      <c r="J978" s="24"/>
      <c r="L978" s="55"/>
    </row>
    <row r="979">
      <c r="B979" s="55"/>
      <c r="C979" s="24"/>
      <c r="F979" s="24"/>
      <c r="H979" s="24"/>
      <c r="I979" s="24"/>
      <c r="J979" s="24"/>
      <c r="L979" s="55"/>
    </row>
    <row r="980">
      <c r="B980" s="55"/>
      <c r="C980" s="24"/>
      <c r="F980" s="24"/>
      <c r="H980" s="24"/>
      <c r="I980" s="24"/>
      <c r="J980" s="24"/>
      <c r="L980" s="55"/>
    </row>
    <row r="981">
      <c r="B981" s="55"/>
      <c r="C981" s="24"/>
      <c r="F981" s="24"/>
      <c r="H981" s="24"/>
      <c r="I981" s="24"/>
      <c r="J981" s="24"/>
      <c r="L981" s="55"/>
    </row>
    <row r="982">
      <c r="B982" s="55"/>
      <c r="C982" s="24"/>
      <c r="F982" s="24"/>
      <c r="H982" s="24"/>
      <c r="I982" s="24"/>
      <c r="J982" s="24"/>
      <c r="L982" s="55"/>
    </row>
    <row r="983">
      <c r="B983" s="55"/>
      <c r="C983" s="24"/>
      <c r="F983" s="24"/>
      <c r="H983" s="24"/>
      <c r="I983" s="24"/>
      <c r="J983" s="24"/>
      <c r="L983" s="55"/>
    </row>
    <row r="984">
      <c r="B984" s="55"/>
      <c r="C984" s="24"/>
      <c r="F984" s="24"/>
      <c r="H984" s="24"/>
      <c r="I984" s="24"/>
      <c r="J984" s="24"/>
      <c r="L984" s="55"/>
    </row>
    <row r="985">
      <c r="B985" s="55"/>
      <c r="C985" s="24"/>
      <c r="F985" s="24"/>
      <c r="H985" s="24"/>
      <c r="I985" s="24"/>
      <c r="J985" s="24"/>
      <c r="L985" s="55"/>
    </row>
    <row r="986">
      <c r="B986" s="55"/>
      <c r="C986" s="24"/>
      <c r="F986" s="24"/>
      <c r="H986" s="24"/>
      <c r="I986" s="24"/>
      <c r="J986" s="24"/>
      <c r="L986" s="55"/>
    </row>
    <row r="987">
      <c r="B987" s="55"/>
      <c r="C987" s="24"/>
      <c r="F987" s="24"/>
      <c r="H987" s="24"/>
      <c r="I987" s="24"/>
      <c r="J987" s="24"/>
      <c r="L987" s="55"/>
    </row>
    <row r="988">
      <c r="B988" s="55"/>
      <c r="C988" s="24"/>
      <c r="F988" s="24"/>
      <c r="H988" s="24"/>
      <c r="I988" s="24"/>
      <c r="J988" s="24"/>
      <c r="L988" s="55"/>
    </row>
    <row r="989">
      <c r="B989" s="55"/>
      <c r="C989" s="24"/>
      <c r="F989" s="24"/>
      <c r="H989" s="24"/>
      <c r="I989" s="24"/>
      <c r="J989" s="24"/>
      <c r="L989" s="55"/>
    </row>
    <row r="990">
      <c r="B990" s="55"/>
      <c r="C990" s="24"/>
      <c r="F990" s="24"/>
      <c r="H990" s="24"/>
      <c r="I990" s="24"/>
      <c r="J990" s="24"/>
      <c r="L990" s="55"/>
    </row>
    <row r="991">
      <c r="B991" s="55"/>
      <c r="C991" s="24"/>
      <c r="F991" s="24"/>
      <c r="H991" s="24"/>
      <c r="I991" s="24"/>
      <c r="J991" s="24"/>
      <c r="L991" s="55"/>
    </row>
    <row r="992">
      <c r="B992" s="55"/>
      <c r="C992" s="24"/>
      <c r="F992" s="24"/>
      <c r="H992" s="24"/>
      <c r="I992" s="24"/>
      <c r="J992" s="24"/>
      <c r="L992" s="55"/>
    </row>
    <row r="993">
      <c r="B993" s="55"/>
      <c r="C993" s="24"/>
      <c r="F993" s="24"/>
      <c r="H993" s="24"/>
      <c r="I993" s="24"/>
      <c r="J993" s="24"/>
      <c r="L993" s="55"/>
    </row>
    <row r="994">
      <c r="B994" s="55"/>
      <c r="C994" s="24"/>
      <c r="F994" s="24"/>
      <c r="H994" s="24"/>
      <c r="I994" s="24"/>
      <c r="J994" s="24"/>
      <c r="L994" s="55"/>
    </row>
    <row r="995">
      <c r="B995" s="55"/>
      <c r="C995" s="24"/>
      <c r="F995" s="24"/>
      <c r="H995" s="24"/>
      <c r="I995" s="24"/>
      <c r="J995" s="24"/>
      <c r="L995" s="55"/>
    </row>
    <row r="996">
      <c r="B996" s="55"/>
      <c r="C996" s="24"/>
      <c r="F996" s="24"/>
      <c r="H996" s="24"/>
      <c r="I996" s="24"/>
      <c r="J996" s="24"/>
      <c r="L996" s="55"/>
    </row>
    <row r="997">
      <c r="B997" s="55"/>
      <c r="C997" s="24"/>
      <c r="F997" s="24"/>
      <c r="H997" s="24"/>
      <c r="I997" s="24"/>
      <c r="J997" s="24"/>
      <c r="L997" s="55"/>
    </row>
    <row r="998">
      <c r="B998" s="55"/>
      <c r="C998" s="24"/>
      <c r="F998" s="24"/>
      <c r="H998" s="24"/>
      <c r="I998" s="24"/>
      <c r="J998" s="24"/>
      <c r="L998" s="55"/>
    </row>
    <row r="999">
      <c r="B999" s="55"/>
      <c r="C999" s="24"/>
      <c r="F999" s="24"/>
      <c r="H999" s="24"/>
      <c r="I999" s="24"/>
      <c r="J999" s="24"/>
      <c r="L999" s="55"/>
    </row>
    <row r="1000">
      <c r="B1000" s="55"/>
      <c r="C1000" s="24"/>
      <c r="F1000" s="24"/>
      <c r="H1000" s="24"/>
      <c r="I1000" s="24"/>
      <c r="J1000" s="24"/>
      <c r="L1000" s="55"/>
    </row>
    <row r="1001">
      <c r="B1001" s="55"/>
      <c r="C1001" s="24"/>
      <c r="F1001" s="24"/>
      <c r="H1001" s="24"/>
      <c r="I1001" s="24"/>
      <c r="J1001" s="24"/>
      <c r="L1001" s="55"/>
    </row>
    <row r="1002">
      <c r="B1002" s="55"/>
      <c r="C1002" s="24"/>
      <c r="F1002" s="24"/>
      <c r="H1002" s="24"/>
      <c r="I1002" s="24"/>
      <c r="J1002" s="24"/>
      <c r="L1002" s="55"/>
    </row>
    <row r="1003">
      <c r="B1003" s="55"/>
      <c r="C1003" s="24"/>
      <c r="F1003" s="24"/>
      <c r="H1003" s="24"/>
      <c r="I1003" s="24"/>
      <c r="J1003" s="24"/>
      <c r="L1003" s="55"/>
    </row>
    <row r="1004">
      <c r="B1004" s="55"/>
      <c r="C1004" s="24"/>
      <c r="F1004" s="24"/>
      <c r="H1004" s="24"/>
      <c r="I1004" s="24"/>
      <c r="J1004" s="24"/>
      <c r="L1004" s="55"/>
    </row>
    <row r="1005">
      <c r="B1005" s="55"/>
      <c r="C1005" s="24"/>
      <c r="F1005" s="24"/>
      <c r="H1005" s="24"/>
      <c r="I1005" s="24"/>
      <c r="J1005" s="24"/>
      <c r="L1005" s="55"/>
    </row>
  </sheetData>
  <mergeCells count="1">
    <mergeCell ref="P1:Q1"/>
  </mergeCells>
  <conditionalFormatting sqref="H1:H6 H15:H1005">
    <cfRule type="cellIs" dxfId="0" priority="1" operator="equal">
      <formula>"Y"</formula>
    </cfRule>
  </conditionalFormatting>
  <conditionalFormatting sqref="H1:H6 H15:H1005">
    <cfRule type="containsText" dxfId="1" priority="2" operator="containsText" text="N">
      <formula>NOT(ISERROR(SEARCH(("N"),(H1))))</formula>
    </cfRule>
  </conditionalFormatting>
  <dataValidations>
    <dataValidation type="list" allowBlank="1" sqref="C7:C1005 I7:I1005">
      <formula1>"P1,P2,P3,P4,P5"</formula1>
    </dataValidation>
    <dataValidation type="list" allowBlank="1" sqref="H7:H1005">
      <formula1>"Y,N"</formula1>
    </dataValidation>
    <dataValidation type="list" allowBlank="1" sqref="F7:F1005 J7:J1005">
      <formula1>BaseData!$A$2:$A$42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8.13"/>
    <col customWidth="1" min="3" max="3" width="7.25"/>
    <col customWidth="1" min="4" max="4" width="26.63"/>
    <col customWidth="1" min="5" max="5" width="9.13"/>
    <col customWidth="1" min="6" max="6" width="18.63"/>
    <col customWidth="1" min="7" max="7" width="8.75"/>
    <col customWidth="1" min="8" max="8" width="11.0"/>
    <col customWidth="1" min="9" max="9" width="9.75"/>
    <col customWidth="1" min="10" max="10" width="12.63"/>
    <col customWidth="1" min="11" max="11" width="10.88"/>
    <col customWidth="1" min="12" max="12" width="38.63"/>
    <col customWidth="1" min="13" max="14" width="15.25"/>
    <col customWidth="1" min="15" max="15" width="20.0"/>
    <col customWidth="1" min="16" max="16" width="24.88"/>
    <col customWidth="1" min="17" max="17" width="5.75"/>
    <col customWidth="1" min="18" max="18" width="23.25"/>
  </cols>
  <sheetData>
    <row r="1">
      <c r="J1" s="8"/>
      <c r="K1" s="8" t="s">
        <v>507</v>
      </c>
      <c r="N1" s="6"/>
      <c r="O1" s="6"/>
      <c r="P1" s="9" t="s">
        <v>36</v>
      </c>
      <c r="Q1" s="10" t="s">
        <v>37</v>
      </c>
      <c r="R1" s="11"/>
    </row>
    <row r="2">
      <c r="A2" s="8"/>
      <c r="B2" s="8"/>
      <c r="E2" s="8"/>
      <c r="F2" s="12" t="s">
        <v>25</v>
      </c>
      <c r="G2" s="1">
        <f>countifs(A:A,"&lt;&gt;NEW",A:A,"&lt;&gt;")-1</f>
        <v>27</v>
      </c>
      <c r="I2" s="8"/>
      <c r="J2" s="8"/>
      <c r="N2" s="6"/>
      <c r="O2" s="6"/>
      <c r="P2" s="13" t="s">
        <v>38</v>
      </c>
      <c r="Q2" s="14" t="s">
        <v>39</v>
      </c>
      <c r="R2" s="15" t="s">
        <v>40</v>
      </c>
    </row>
    <row r="3">
      <c r="A3" s="8"/>
      <c r="B3" s="8"/>
      <c r="D3" s="16"/>
      <c r="E3" s="8"/>
      <c r="F3" s="17" t="s">
        <v>41</v>
      </c>
      <c r="G3" s="18">
        <f>countif(H:H,"=Y")</f>
        <v>17</v>
      </c>
      <c r="H3" s="8"/>
      <c r="I3" s="8"/>
      <c r="J3" s="8"/>
      <c r="N3" s="6"/>
      <c r="O3" s="6"/>
      <c r="P3" s="13" t="s">
        <v>42</v>
      </c>
      <c r="Q3" s="14" t="s">
        <v>43</v>
      </c>
      <c r="R3" s="15" t="s">
        <v>44</v>
      </c>
    </row>
    <row r="4">
      <c r="A4" s="8"/>
      <c r="B4" s="8"/>
      <c r="E4" s="8"/>
      <c r="F4" s="17" t="s">
        <v>45</v>
      </c>
      <c r="G4" s="18">
        <f>COUNTIF(A:A,"=NEW")</f>
        <v>0</v>
      </c>
      <c r="H4" s="8"/>
      <c r="I4" s="8"/>
      <c r="J4" s="8"/>
      <c r="N4" s="6"/>
      <c r="O4" s="6"/>
      <c r="P4" s="13" t="s">
        <v>46</v>
      </c>
      <c r="Q4" s="14" t="s">
        <v>47</v>
      </c>
      <c r="R4" s="15" t="s">
        <v>48</v>
      </c>
    </row>
    <row r="5">
      <c r="A5" s="8"/>
      <c r="B5" s="8"/>
      <c r="C5" s="8"/>
      <c r="D5" s="8"/>
      <c r="E5" s="8"/>
      <c r="F5" s="8"/>
      <c r="G5" s="8"/>
      <c r="H5" s="8"/>
      <c r="I5" s="8"/>
      <c r="J5" s="8"/>
      <c r="N5" s="6"/>
      <c r="O5" s="6"/>
      <c r="P5" s="13" t="s">
        <v>49</v>
      </c>
      <c r="Q5" s="14" t="s">
        <v>50</v>
      </c>
      <c r="R5" s="15" t="s">
        <v>51</v>
      </c>
    </row>
    <row r="6">
      <c r="A6" s="1" t="s">
        <v>52</v>
      </c>
      <c r="B6" s="1" t="s">
        <v>53</v>
      </c>
      <c r="C6" s="1" t="s">
        <v>54</v>
      </c>
      <c r="D6" s="1" t="s">
        <v>55</v>
      </c>
      <c r="E6" s="1" t="s">
        <v>56</v>
      </c>
      <c r="F6" s="1" t="s">
        <v>57</v>
      </c>
      <c r="G6" s="1" t="s">
        <v>58</v>
      </c>
      <c r="H6" s="18" t="s">
        <v>59</v>
      </c>
      <c r="I6" s="18" t="s">
        <v>60</v>
      </c>
      <c r="J6" s="18" t="s">
        <v>61</v>
      </c>
      <c r="K6" s="18" t="s">
        <v>62</v>
      </c>
      <c r="L6" s="18" t="s">
        <v>63</v>
      </c>
      <c r="M6" s="28" t="s">
        <v>508</v>
      </c>
      <c r="N6" s="62" t="s">
        <v>164</v>
      </c>
      <c r="O6" s="62" t="s">
        <v>165</v>
      </c>
      <c r="P6" s="13" t="s">
        <v>64</v>
      </c>
      <c r="Q6" s="14" t="s">
        <v>65</v>
      </c>
      <c r="R6" s="15" t="s">
        <v>66</v>
      </c>
    </row>
    <row r="7">
      <c r="A7" s="63" t="s">
        <v>509</v>
      </c>
      <c r="B7" s="64" t="s">
        <v>510</v>
      </c>
      <c r="C7" s="19" t="s">
        <v>95</v>
      </c>
      <c r="D7" s="27" t="s">
        <v>511</v>
      </c>
      <c r="E7" s="27" t="s">
        <v>512</v>
      </c>
      <c r="F7" s="19" t="s">
        <v>314</v>
      </c>
      <c r="G7" s="19" t="s">
        <v>513</v>
      </c>
      <c r="H7" s="19" t="s">
        <v>143</v>
      </c>
      <c r="I7" s="19" t="s">
        <v>95</v>
      </c>
      <c r="J7" s="19" t="s">
        <v>314</v>
      </c>
      <c r="K7" s="25" t="str">
        <f>HYPERLINK("https://maxxton.atlassian.net/browse/QA-29094","QA-29094")</f>
        <v>QA-29094</v>
      </c>
      <c r="L7" s="19" t="s">
        <v>514</v>
      </c>
      <c r="N7" s="65" t="s">
        <v>513</v>
      </c>
      <c r="O7" s="65" t="s">
        <v>515</v>
      </c>
      <c r="P7" s="14" t="s">
        <v>67</v>
      </c>
      <c r="Q7" s="20" t="s">
        <v>68</v>
      </c>
      <c r="R7" s="20" t="s">
        <v>69</v>
      </c>
    </row>
    <row r="8">
      <c r="A8" s="66" t="s">
        <v>516</v>
      </c>
      <c r="B8" s="15" t="s">
        <v>517</v>
      </c>
      <c r="C8" s="19" t="s">
        <v>95</v>
      </c>
      <c r="D8" s="14" t="s">
        <v>511</v>
      </c>
      <c r="E8" s="14" t="s">
        <v>512</v>
      </c>
      <c r="F8" s="19" t="s">
        <v>314</v>
      </c>
      <c r="G8" s="19" t="s">
        <v>110</v>
      </c>
      <c r="H8" s="19" t="s">
        <v>143</v>
      </c>
      <c r="I8" s="19" t="s">
        <v>95</v>
      </c>
      <c r="J8" s="19" t="s">
        <v>314</v>
      </c>
      <c r="K8" s="25" t="str">
        <f>HYPERLINK("https://maxxton.atlassian.net/browse/QA-29095","QA-29095")</f>
        <v>QA-29095</v>
      </c>
      <c r="L8" s="19" t="s">
        <v>514</v>
      </c>
      <c r="N8" s="65" t="s">
        <v>110</v>
      </c>
      <c r="O8" s="65" t="s">
        <v>518</v>
      </c>
      <c r="P8" s="14" t="s">
        <v>70</v>
      </c>
      <c r="Q8" s="20" t="s">
        <v>71</v>
      </c>
      <c r="R8" s="20" t="s">
        <v>72</v>
      </c>
    </row>
    <row r="9">
      <c r="A9" s="66" t="s">
        <v>519</v>
      </c>
      <c r="B9" s="15" t="s">
        <v>520</v>
      </c>
      <c r="C9" s="19" t="s">
        <v>95</v>
      </c>
      <c r="D9" s="14" t="s">
        <v>511</v>
      </c>
      <c r="E9" s="14" t="s">
        <v>512</v>
      </c>
      <c r="F9" s="19" t="s">
        <v>314</v>
      </c>
      <c r="G9" s="19" t="s">
        <v>110</v>
      </c>
      <c r="H9" s="19" t="s">
        <v>143</v>
      </c>
      <c r="I9" s="19" t="s">
        <v>95</v>
      </c>
      <c r="J9" s="19" t="s">
        <v>314</v>
      </c>
      <c r="K9" s="25" t="str">
        <f>HYPERLINK("https://maxxton.atlassian.net/browse/QA-29096","QA-29096")</f>
        <v>QA-29096</v>
      </c>
      <c r="L9" s="19" t="s">
        <v>514</v>
      </c>
      <c r="N9" s="65" t="s">
        <v>110</v>
      </c>
      <c r="O9" s="65" t="s">
        <v>136</v>
      </c>
      <c r="P9" s="14" t="s">
        <v>73</v>
      </c>
      <c r="Q9" s="20" t="s">
        <v>74</v>
      </c>
      <c r="R9" s="20" t="s">
        <v>75</v>
      </c>
    </row>
    <row r="10">
      <c r="A10" s="66" t="s">
        <v>521</v>
      </c>
      <c r="B10" s="15" t="s">
        <v>522</v>
      </c>
      <c r="C10" s="19" t="s">
        <v>95</v>
      </c>
      <c r="D10" s="14" t="s">
        <v>523</v>
      </c>
      <c r="E10" s="14" t="s">
        <v>512</v>
      </c>
      <c r="F10" s="19" t="s">
        <v>314</v>
      </c>
      <c r="G10" s="19" t="s">
        <v>110</v>
      </c>
      <c r="H10" s="19" t="s">
        <v>143</v>
      </c>
      <c r="I10" s="19" t="s">
        <v>95</v>
      </c>
      <c r="J10" s="19" t="s">
        <v>314</v>
      </c>
      <c r="K10" s="25" t="str">
        <f>HYPERLINK("https://maxxton.atlassian.net/browse/QA-29097","QA-29097")</f>
        <v>QA-29097</v>
      </c>
      <c r="L10" s="19" t="s">
        <v>514</v>
      </c>
      <c r="N10" s="65" t="s">
        <v>110</v>
      </c>
      <c r="O10" s="65" t="s">
        <v>136</v>
      </c>
      <c r="P10" s="14" t="s">
        <v>76</v>
      </c>
      <c r="Q10" s="20"/>
      <c r="R10" s="20"/>
    </row>
    <row r="11">
      <c r="A11" s="66" t="s">
        <v>524</v>
      </c>
      <c r="B11" s="15" t="s">
        <v>525</v>
      </c>
      <c r="C11" s="19" t="s">
        <v>95</v>
      </c>
      <c r="D11" s="14" t="s">
        <v>523</v>
      </c>
      <c r="E11" s="14" t="s">
        <v>512</v>
      </c>
      <c r="F11" s="19" t="s">
        <v>314</v>
      </c>
      <c r="G11" s="19" t="s">
        <v>110</v>
      </c>
      <c r="H11" s="19" t="s">
        <v>143</v>
      </c>
      <c r="I11" s="19" t="s">
        <v>95</v>
      </c>
      <c r="J11" s="19" t="s">
        <v>314</v>
      </c>
      <c r="K11" s="25" t="str">
        <f>HYPERLINK("https://maxxton.atlassian.net/browse/QA-29098","QA-29098")</f>
        <v>QA-29098</v>
      </c>
      <c r="L11" s="19" t="s">
        <v>514</v>
      </c>
      <c r="N11" s="65" t="s">
        <v>110</v>
      </c>
      <c r="O11" s="65" t="s">
        <v>518</v>
      </c>
      <c r="P11" s="14" t="s">
        <v>77</v>
      </c>
      <c r="Q11" s="20"/>
      <c r="R11" s="20"/>
    </row>
    <row r="12">
      <c r="A12" s="66" t="s">
        <v>526</v>
      </c>
      <c r="B12" s="15" t="s">
        <v>527</v>
      </c>
      <c r="C12" s="19" t="s">
        <v>95</v>
      </c>
      <c r="D12" s="14" t="s">
        <v>528</v>
      </c>
      <c r="E12" s="14" t="s">
        <v>512</v>
      </c>
      <c r="F12" s="19" t="s">
        <v>314</v>
      </c>
      <c r="G12" s="19" t="s">
        <v>110</v>
      </c>
      <c r="H12" s="19" t="s">
        <v>143</v>
      </c>
      <c r="I12" s="19" t="s">
        <v>95</v>
      </c>
      <c r="J12" s="19" t="s">
        <v>314</v>
      </c>
      <c r="K12" s="26" t="str">
        <f>HYPERLINK("https://maxxton.atlassian.net/browse/QA-29099","QA-29099")</f>
        <v>QA-29099</v>
      </c>
      <c r="L12" s="19" t="s">
        <v>514</v>
      </c>
      <c r="M12" s="8"/>
      <c r="N12" s="65" t="s">
        <v>110</v>
      </c>
      <c r="O12" s="65" t="s">
        <v>241</v>
      </c>
      <c r="P12" s="14" t="s">
        <v>78</v>
      </c>
      <c r="Q12" s="20"/>
      <c r="R12" s="20"/>
    </row>
    <row r="13" hidden="1">
      <c r="A13" s="66" t="s">
        <v>529</v>
      </c>
      <c r="B13" s="15" t="s">
        <v>530</v>
      </c>
      <c r="C13" s="19" t="s">
        <v>95</v>
      </c>
      <c r="D13" s="14" t="s">
        <v>528</v>
      </c>
      <c r="E13" s="14" t="s">
        <v>512</v>
      </c>
      <c r="F13" s="19" t="s">
        <v>314</v>
      </c>
      <c r="G13" s="19" t="s">
        <v>110</v>
      </c>
      <c r="H13" s="19" t="s">
        <v>98</v>
      </c>
      <c r="I13" s="19" t="s">
        <v>95</v>
      </c>
      <c r="J13" s="19" t="s">
        <v>314</v>
      </c>
      <c r="K13" s="26" t="str">
        <f>HYPERLINK("https://maxxton.atlassian.net/browse/QA-22621","QA-22621")</f>
        <v>QA-22621</v>
      </c>
      <c r="L13" s="19" t="s">
        <v>531</v>
      </c>
      <c r="M13" s="8" t="s">
        <v>532</v>
      </c>
      <c r="N13" s="65" t="s">
        <v>110</v>
      </c>
      <c r="O13" s="65" t="s">
        <v>518</v>
      </c>
      <c r="P13" s="14" t="s">
        <v>79</v>
      </c>
      <c r="Q13" s="20"/>
      <c r="R13" s="20"/>
    </row>
    <row r="14" hidden="1">
      <c r="A14" s="66" t="s">
        <v>533</v>
      </c>
      <c r="B14" s="15" t="s">
        <v>534</v>
      </c>
      <c r="C14" s="19" t="s">
        <v>95</v>
      </c>
      <c r="D14" s="14" t="s">
        <v>535</v>
      </c>
      <c r="E14" s="14" t="s">
        <v>536</v>
      </c>
      <c r="F14" s="19" t="s">
        <v>314</v>
      </c>
      <c r="G14" s="19" t="s">
        <v>110</v>
      </c>
      <c r="H14" s="19" t="s">
        <v>98</v>
      </c>
      <c r="I14" s="19" t="s">
        <v>95</v>
      </c>
      <c r="J14" s="19" t="s">
        <v>314</v>
      </c>
      <c r="K14" s="26" t="str">
        <f>HYPERLINK("https://maxxton.atlassian.net/browse/QA-22622","QA-22622")</f>
        <v>QA-22622</v>
      </c>
      <c r="L14" s="19" t="s">
        <v>531</v>
      </c>
      <c r="M14" s="8" t="s">
        <v>537</v>
      </c>
      <c r="N14" s="65" t="s">
        <v>110</v>
      </c>
      <c r="O14" s="65" t="s">
        <v>518</v>
      </c>
      <c r="P14" s="14" t="s">
        <v>80</v>
      </c>
      <c r="Q14" s="20"/>
      <c r="R14" s="20"/>
    </row>
    <row r="15">
      <c r="A15" s="66" t="s">
        <v>538</v>
      </c>
      <c r="B15" s="15" t="s">
        <v>539</v>
      </c>
      <c r="C15" s="19" t="s">
        <v>95</v>
      </c>
      <c r="D15" s="14" t="s">
        <v>535</v>
      </c>
      <c r="E15" s="14" t="s">
        <v>536</v>
      </c>
      <c r="F15" s="19" t="s">
        <v>314</v>
      </c>
      <c r="G15" s="19" t="s">
        <v>128</v>
      </c>
      <c r="H15" s="19" t="s">
        <v>143</v>
      </c>
      <c r="I15" s="19" t="s">
        <v>95</v>
      </c>
      <c r="J15" s="19" t="s">
        <v>314</v>
      </c>
      <c r="K15" s="26" t="str">
        <f>HYPERLINK("https://maxxton.atlassian.net/browse/QA-29100","QA-29100")</f>
        <v>QA-29100</v>
      </c>
      <c r="L15" s="19" t="s">
        <v>514</v>
      </c>
      <c r="N15" s="65" t="s">
        <v>110</v>
      </c>
      <c r="O15" s="65" t="s">
        <v>518</v>
      </c>
      <c r="P15" s="14" t="s">
        <v>81</v>
      </c>
      <c r="Q15" s="20"/>
      <c r="R15" s="20"/>
    </row>
    <row r="16">
      <c r="A16" s="66" t="s">
        <v>540</v>
      </c>
      <c r="B16" s="15" t="s">
        <v>541</v>
      </c>
      <c r="C16" s="19" t="s">
        <v>95</v>
      </c>
      <c r="D16" s="14" t="s">
        <v>542</v>
      </c>
      <c r="E16" s="14" t="s">
        <v>536</v>
      </c>
      <c r="F16" s="19" t="s">
        <v>314</v>
      </c>
      <c r="G16" s="19" t="s">
        <v>110</v>
      </c>
      <c r="H16" s="19" t="s">
        <v>143</v>
      </c>
      <c r="I16" s="19" t="s">
        <v>95</v>
      </c>
      <c r="J16" s="19" t="s">
        <v>314</v>
      </c>
      <c r="K16" s="26" t="str">
        <f>HYPERLINK("https://maxxton.atlassian.net/browse/QA-29101","QA-29101")</f>
        <v>QA-29101</v>
      </c>
      <c r="L16" s="19" t="s">
        <v>514</v>
      </c>
      <c r="N16" s="65" t="s">
        <v>110</v>
      </c>
      <c r="O16" s="65" t="s">
        <v>518</v>
      </c>
      <c r="P16" s="14" t="s">
        <v>82</v>
      </c>
      <c r="Q16" s="20"/>
      <c r="R16" s="20"/>
    </row>
    <row r="17" hidden="1">
      <c r="A17" s="66" t="s">
        <v>543</v>
      </c>
      <c r="B17" s="15" t="s">
        <v>544</v>
      </c>
      <c r="C17" s="19" t="s">
        <v>95</v>
      </c>
      <c r="D17" s="14" t="s">
        <v>542</v>
      </c>
      <c r="E17" s="14" t="s">
        <v>536</v>
      </c>
      <c r="F17" s="19" t="s">
        <v>314</v>
      </c>
      <c r="G17" s="19" t="s">
        <v>110</v>
      </c>
      <c r="H17" s="19" t="s">
        <v>98</v>
      </c>
      <c r="I17" s="19" t="s">
        <v>95</v>
      </c>
      <c r="J17" s="19" t="s">
        <v>314</v>
      </c>
      <c r="K17" s="26" t="str">
        <f>HYPERLINK("https://maxxton.atlassian.net/browse/QA-22625","QA-22625")</f>
        <v>QA-22625</v>
      </c>
      <c r="L17" s="19" t="s">
        <v>531</v>
      </c>
      <c r="M17" s="8" t="s">
        <v>545</v>
      </c>
      <c r="N17" s="65" t="s">
        <v>110</v>
      </c>
      <c r="O17" s="65" t="s">
        <v>136</v>
      </c>
      <c r="P17" s="14" t="s">
        <v>83</v>
      </c>
      <c r="Q17" s="20"/>
      <c r="R17" s="20"/>
    </row>
    <row r="18">
      <c r="A18" s="66" t="s">
        <v>546</v>
      </c>
      <c r="B18" s="15" t="s">
        <v>547</v>
      </c>
      <c r="C18" s="19" t="s">
        <v>95</v>
      </c>
      <c r="D18" s="14" t="s">
        <v>548</v>
      </c>
      <c r="E18" s="14" t="s">
        <v>536</v>
      </c>
      <c r="F18" s="19" t="s">
        <v>314</v>
      </c>
      <c r="G18" s="19" t="s">
        <v>110</v>
      </c>
      <c r="H18" s="19" t="s">
        <v>143</v>
      </c>
      <c r="I18" s="19" t="s">
        <v>95</v>
      </c>
      <c r="J18" s="19" t="s">
        <v>314</v>
      </c>
      <c r="K18" s="26" t="str">
        <f>HYPERLINK("https://maxxton.atlassian.net/browse/QA-29102","QA-29102")</f>
        <v>QA-29102</v>
      </c>
      <c r="L18" s="19" t="s">
        <v>514</v>
      </c>
      <c r="N18" s="65" t="s">
        <v>110</v>
      </c>
      <c r="O18" s="65" t="s">
        <v>549</v>
      </c>
      <c r="P18" s="14" t="s">
        <v>84</v>
      </c>
      <c r="Q18" s="20"/>
      <c r="R18" s="20"/>
    </row>
    <row r="19" hidden="1">
      <c r="A19" s="14" t="s">
        <v>550</v>
      </c>
      <c r="B19" s="15" t="s">
        <v>551</v>
      </c>
      <c r="C19" s="19" t="s">
        <v>95</v>
      </c>
      <c r="D19" s="14" t="s">
        <v>552</v>
      </c>
      <c r="E19" s="14" t="s">
        <v>553</v>
      </c>
      <c r="F19" s="19" t="s">
        <v>314</v>
      </c>
      <c r="G19" s="19" t="s">
        <v>110</v>
      </c>
      <c r="H19" s="19" t="s">
        <v>98</v>
      </c>
      <c r="I19" s="19" t="s">
        <v>95</v>
      </c>
      <c r="J19" s="19" t="s">
        <v>314</v>
      </c>
      <c r="K19" s="26" t="str">
        <f>HYPERLINK("https://maxxton.atlassian.net/browse/QA-22627","QA-22627")</f>
        <v>QA-22627</v>
      </c>
      <c r="L19" s="19" t="s">
        <v>531</v>
      </c>
      <c r="M19" s="8" t="s">
        <v>554</v>
      </c>
      <c r="N19" s="65" t="s">
        <v>110</v>
      </c>
      <c r="O19" s="65" t="s">
        <v>110</v>
      </c>
      <c r="P19" s="14" t="s">
        <v>85</v>
      </c>
      <c r="Q19" s="20"/>
      <c r="R19" s="20"/>
    </row>
    <row r="20">
      <c r="A20" s="14" t="s">
        <v>555</v>
      </c>
      <c r="B20" s="15" t="s">
        <v>556</v>
      </c>
      <c r="C20" s="19" t="s">
        <v>95</v>
      </c>
      <c r="D20" s="14" t="s">
        <v>552</v>
      </c>
      <c r="E20" s="14" t="s">
        <v>553</v>
      </c>
      <c r="F20" s="19" t="s">
        <v>314</v>
      </c>
      <c r="G20" s="19" t="s">
        <v>110</v>
      </c>
      <c r="H20" s="19" t="s">
        <v>143</v>
      </c>
      <c r="I20" s="19" t="s">
        <v>95</v>
      </c>
      <c r="J20" s="19" t="s">
        <v>314</v>
      </c>
      <c r="K20" s="26" t="str">
        <f>HYPERLINK("https://maxxton.atlassian.net/browse/QA-29103","QA-29103")</f>
        <v>QA-29103</v>
      </c>
      <c r="L20" s="19" t="s">
        <v>514</v>
      </c>
      <c r="N20" s="65" t="s">
        <v>110</v>
      </c>
      <c r="O20" s="65" t="s">
        <v>110</v>
      </c>
      <c r="P20" s="14" t="s">
        <v>86</v>
      </c>
      <c r="Q20" s="20"/>
      <c r="R20" s="20"/>
    </row>
    <row r="21" hidden="1">
      <c r="A21" s="14" t="s">
        <v>557</v>
      </c>
      <c r="B21" s="15" t="s">
        <v>558</v>
      </c>
      <c r="C21" s="19" t="s">
        <v>95</v>
      </c>
      <c r="D21" s="14" t="s">
        <v>559</v>
      </c>
      <c r="E21" s="14" t="s">
        <v>553</v>
      </c>
      <c r="F21" s="19" t="s">
        <v>314</v>
      </c>
      <c r="G21" s="19" t="s">
        <v>110</v>
      </c>
      <c r="H21" s="19" t="s">
        <v>98</v>
      </c>
      <c r="I21" s="19" t="s">
        <v>95</v>
      </c>
      <c r="J21" s="19" t="s">
        <v>314</v>
      </c>
      <c r="K21" s="26" t="str">
        <f>HYPERLINK("https://maxxton.atlassian.net/browse/QA-22629","QA-22629")</f>
        <v>QA-22629</v>
      </c>
      <c r="L21" s="19" t="s">
        <v>531</v>
      </c>
      <c r="M21" s="8" t="s">
        <v>560</v>
      </c>
      <c r="N21" s="65" t="s">
        <v>110</v>
      </c>
      <c r="O21" s="65" t="s">
        <v>110</v>
      </c>
      <c r="P21" s="14" t="s">
        <v>87</v>
      </c>
      <c r="Q21" s="20"/>
      <c r="R21" s="20"/>
    </row>
    <row r="22">
      <c r="A22" s="14" t="s">
        <v>561</v>
      </c>
      <c r="B22" s="15" t="s">
        <v>562</v>
      </c>
      <c r="C22" s="19" t="s">
        <v>95</v>
      </c>
      <c r="D22" s="14" t="s">
        <v>559</v>
      </c>
      <c r="E22" s="14" t="s">
        <v>553</v>
      </c>
      <c r="F22" s="19" t="s">
        <v>314</v>
      </c>
      <c r="G22" s="19" t="s">
        <v>110</v>
      </c>
      <c r="H22" s="19" t="s">
        <v>143</v>
      </c>
      <c r="I22" s="19" t="s">
        <v>95</v>
      </c>
      <c r="J22" s="19" t="s">
        <v>314</v>
      </c>
      <c r="K22" s="26" t="str">
        <f>HYPERLINK("https://maxxton.atlassian.net/browse/QA-29104","QA-29104")</f>
        <v>QA-29104</v>
      </c>
      <c r="L22" s="19" t="s">
        <v>514</v>
      </c>
      <c r="N22" s="65" t="s">
        <v>110</v>
      </c>
      <c r="O22" s="65" t="s">
        <v>110</v>
      </c>
      <c r="P22" s="14" t="s">
        <v>88</v>
      </c>
      <c r="Q22" s="20"/>
      <c r="R22" s="20"/>
    </row>
    <row r="23">
      <c r="A23" s="14" t="s">
        <v>563</v>
      </c>
      <c r="B23" s="15" t="s">
        <v>564</v>
      </c>
      <c r="C23" s="19" t="s">
        <v>95</v>
      </c>
      <c r="D23" s="14" t="s">
        <v>565</v>
      </c>
      <c r="E23" s="14" t="s">
        <v>536</v>
      </c>
      <c r="F23" s="19" t="s">
        <v>314</v>
      </c>
      <c r="G23" s="19" t="s">
        <v>110</v>
      </c>
      <c r="H23" s="19" t="s">
        <v>143</v>
      </c>
      <c r="I23" s="19" t="s">
        <v>95</v>
      </c>
      <c r="J23" s="19" t="s">
        <v>314</v>
      </c>
      <c r="K23" s="26" t="str">
        <f>HYPERLINK("https://maxxton.atlassian.net/browse/QA-29105","QA-29105")</f>
        <v>QA-29105</v>
      </c>
      <c r="L23" s="19" t="s">
        <v>514</v>
      </c>
      <c r="N23" s="65" t="s">
        <v>110</v>
      </c>
      <c r="O23" s="65" t="s">
        <v>136</v>
      </c>
      <c r="P23" s="14" t="s">
        <v>89</v>
      </c>
      <c r="Q23" s="20"/>
      <c r="R23" s="20"/>
    </row>
    <row r="24">
      <c r="A24" s="14" t="s">
        <v>566</v>
      </c>
      <c r="B24" s="15" t="s">
        <v>567</v>
      </c>
      <c r="C24" s="19" t="s">
        <v>95</v>
      </c>
      <c r="D24" s="14" t="s">
        <v>568</v>
      </c>
      <c r="E24" s="14" t="s">
        <v>536</v>
      </c>
      <c r="F24" s="19" t="s">
        <v>314</v>
      </c>
      <c r="G24" s="19" t="s">
        <v>128</v>
      </c>
      <c r="H24" s="19" t="s">
        <v>143</v>
      </c>
      <c r="I24" s="19" t="s">
        <v>95</v>
      </c>
      <c r="J24" s="19" t="s">
        <v>314</v>
      </c>
      <c r="K24" s="26" t="str">
        <f>HYPERLINK("https://maxxton.atlassian.net/browse/QA-29106","QA-29106")</f>
        <v>QA-29106</v>
      </c>
      <c r="L24" s="19" t="s">
        <v>514</v>
      </c>
      <c r="N24" s="65" t="s">
        <v>128</v>
      </c>
      <c r="O24" s="65" t="s">
        <v>136</v>
      </c>
      <c r="P24" s="22" t="s">
        <v>90</v>
      </c>
      <c r="Q24" s="20"/>
      <c r="R24" s="20"/>
    </row>
    <row r="25" hidden="1">
      <c r="A25" s="66" t="s">
        <v>569</v>
      </c>
      <c r="B25" s="15" t="s">
        <v>570</v>
      </c>
      <c r="C25" s="19" t="s">
        <v>95</v>
      </c>
      <c r="D25" s="14" t="s">
        <v>548</v>
      </c>
      <c r="E25" s="14" t="s">
        <v>536</v>
      </c>
      <c r="F25" s="19" t="s">
        <v>314</v>
      </c>
      <c r="G25" s="19" t="s">
        <v>110</v>
      </c>
      <c r="H25" s="19" t="s">
        <v>98</v>
      </c>
      <c r="I25" s="19" t="s">
        <v>95</v>
      </c>
      <c r="J25" s="19" t="s">
        <v>314</v>
      </c>
      <c r="K25" s="26" t="str">
        <f>HYPERLINK("https://maxxton.atlassian.net/browse/QA-22633","QA-22633")</f>
        <v>QA-22633</v>
      </c>
      <c r="L25" s="19" t="s">
        <v>531</v>
      </c>
      <c r="M25" s="8" t="s">
        <v>571</v>
      </c>
      <c r="N25" s="65" t="s">
        <v>110</v>
      </c>
      <c r="O25" s="65" t="s">
        <v>549</v>
      </c>
      <c r="P25" s="22" t="s">
        <v>91</v>
      </c>
      <c r="Q25" s="20"/>
      <c r="R25" s="20"/>
    </row>
    <row r="26" hidden="1">
      <c r="A26" s="66" t="s">
        <v>572</v>
      </c>
      <c r="B26" s="15" t="s">
        <v>573</v>
      </c>
      <c r="C26" s="19" t="s">
        <v>95</v>
      </c>
      <c r="D26" s="14" t="s">
        <v>548</v>
      </c>
      <c r="E26" s="14" t="s">
        <v>536</v>
      </c>
      <c r="F26" s="19" t="s">
        <v>314</v>
      </c>
      <c r="G26" s="19" t="s">
        <v>110</v>
      </c>
      <c r="H26" s="19" t="s">
        <v>98</v>
      </c>
      <c r="I26" s="19" t="s">
        <v>95</v>
      </c>
      <c r="J26" s="19" t="s">
        <v>314</v>
      </c>
      <c r="K26" s="26" t="str">
        <f>HYPERLINK("https://maxxton.atlassian.net/browse/QA-22634","QA-22634")</f>
        <v>QA-22634</v>
      </c>
      <c r="L26" s="19" t="s">
        <v>531</v>
      </c>
      <c r="M26" s="8" t="s">
        <v>571</v>
      </c>
      <c r="N26" s="65" t="s">
        <v>110</v>
      </c>
      <c r="O26" s="65" t="s">
        <v>549</v>
      </c>
      <c r="P26" s="23" t="s">
        <v>92</v>
      </c>
      <c r="Q26" s="20"/>
      <c r="R26" s="20"/>
    </row>
    <row r="27">
      <c r="A27" s="66" t="s">
        <v>574</v>
      </c>
      <c r="B27" s="15" t="s">
        <v>575</v>
      </c>
      <c r="C27" s="19" t="s">
        <v>95</v>
      </c>
      <c r="D27" s="14" t="s">
        <v>548</v>
      </c>
      <c r="E27" s="14" t="s">
        <v>536</v>
      </c>
      <c r="F27" s="19" t="s">
        <v>314</v>
      </c>
      <c r="G27" s="19" t="s">
        <v>110</v>
      </c>
      <c r="H27" s="19" t="s">
        <v>143</v>
      </c>
      <c r="I27" s="19" t="s">
        <v>95</v>
      </c>
      <c r="J27" s="19" t="s">
        <v>314</v>
      </c>
      <c r="K27" s="26" t="str">
        <f>HYPERLINK("https://maxxton.atlassian.net/browse/QA-29107","QA-29107")</f>
        <v>QA-29107</v>
      </c>
      <c r="L27" s="19" t="s">
        <v>514</v>
      </c>
      <c r="N27" s="65" t="s">
        <v>110</v>
      </c>
      <c r="O27" s="65" t="s">
        <v>549</v>
      </c>
    </row>
    <row r="28">
      <c r="A28" s="66" t="s">
        <v>576</v>
      </c>
      <c r="B28" s="15" t="s">
        <v>577</v>
      </c>
      <c r="C28" s="19" t="s">
        <v>95</v>
      </c>
      <c r="D28" s="14" t="s">
        <v>548</v>
      </c>
      <c r="E28" s="14" t="s">
        <v>536</v>
      </c>
      <c r="F28" s="19" t="s">
        <v>314</v>
      </c>
      <c r="G28" s="19" t="s">
        <v>110</v>
      </c>
      <c r="H28" s="19" t="s">
        <v>143</v>
      </c>
      <c r="I28" s="19" t="s">
        <v>95</v>
      </c>
      <c r="J28" s="19" t="s">
        <v>314</v>
      </c>
      <c r="K28" s="26" t="str">
        <f>HYPERLINK("https://maxxton.atlassian.net/browse/QA-29108","QA-29108")</f>
        <v>QA-29108</v>
      </c>
      <c r="L28" s="19" t="s">
        <v>514</v>
      </c>
      <c r="N28" s="65" t="s">
        <v>110</v>
      </c>
      <c r="O28" s="65" t="s">
        <v>136</v>
      </c>
    </row>
    <row r="29">
      <c r="A29" s="66" t="s">
        <v>578</v>
      </c>
      <c r="B29" s="15" t="s">
        <v>579</v>
      </c>
      <c r="C29" s="19" t="s">
        <v>95</v>
      </c>
      <c r="D29" s="14" t="s">
        <v>559</v>
      </c>
      <c r="E29" s="14" t="s">
        <v>553</v>
      </c>
      <c r="F29" s="19" t="s">
        <v>314</v>
      </c>
      <c r="G29" s="19" t="s">
        <v>110</v>
      </c>
      <c r="H29" s="19" t="s">
        <v>143</v>
      </c>
      <c r="I29" s="19" t="s">
        <v>95</v>
      </c>
      <c r="J29" s="19" t="s">
        <v>314</v>
      </c>
      <c r="K29" s="26" t="str">
        <f>HYPERLINK("https://maxxton.atlassian.net/browse/QA-29109","QA-29109")</f>
        <v>QA-29109</v>
      </c>
      <c r="L29" s="19" t="s">
        <v>514</v>
      </c>
      <c r="N29" s="65" t="s">
        <v>110</v>
      </c>
      <c r="O29" s="65" t="s">
        <v>110</v>
      </c>
    </row>
    <row r="30" hidden="1">
      <c r="A30" s="66" t="s">
        <v>580</v>
      </c>
      <c r="B30" s="15" t="s">
        <v>581</v>
      </c>
      <c r="C30" s="19" t="s">
        <v>95</v>
      </c>
      <c r="D30" s="14" t="s">
        <v>559</v>
      </c>
      <c r="E30" s="14" t="s">
        <v>553</v>
      </c>
      <c r="F30" s="19" t="s">
        <v>314</v>
      </c>
      <c r="G30" s="19" t="s">
        <v>110</v>
      </c>
      <c r="H30" s="19" t="s">
        <v>98</v>
      </c>
      <c r="I30" s="19" t="s">
        <v>95</v>
      </c>
      <c r="J30" s="19" t="s">
        <v>314</v>
      </c>
      <c r="K30" s="26" t="str">
        <f>HYPERLINK("https://maxxton.atlassian.net/browse/QA-22638","QA-22638")</f>
        <v>QA-22638</v>
      </c>
      <c r="L30" s="19" t="s">
        <v>531</v>
      </c>
      <c r="M30" s="8" t="s">
        <v>582</v>
      </c>
      <c r="N30" s="65" t="s">
        <v>110</v>
      </c>
      <c r="O30" s="65" t="s">
        <v>110</v>
      </c>
    </row>
    <row r="31">
      <c r="A31" s="66" t="s">
        <v>583</v>
      </c>
      <c r="B31" s="15" t="s">
        <v>584</v>
      </c>
      <c r="C31" s="19" t="s">
        <v>95</v>
      </c>
      <c r="D31" s="14" t="s">
        <v>559</v>
      </c>
      <c r="E31" s="14" t="s">
        <v>553</v>
      </c>
      <c r="F31" s="19" t="s">
        <v>314</v>
      </c>
      <c r="G31" s="19" t="s">
        <v>110</v>
      </c>
      <c r="H31" s="19" t="s">
        <v>98</v>
      </c>
      <c r="I31" s="19" t="s">
        <v>95</v>
      </c>
      <c r="J31" s="19" t="s">
        <v>314</v>
      </c>
      <c r="K31" s="26" t="str">
        <f>HYPERLINK("https://maxxton.atlassian.net/browse/QA-27233","QA-27233")</f>
        <v>QA-27233</v>
      </c>
      <c r="L31" s="19" t="s">
        <v>585</v>
      </c>
      <c r="N31" s="65" t="s">
        <v>110</v>
      </c>
      <c r="O31" s="65" t="s">
        <v>110</v>
      </c>
    </row>
    <row r="32" hidden="1">
      <c r="A32" s="66" t="s">
        <v>586</v>
      </c>
      <c r="B32" s="15" t="s">
        <v>587</v>
      </c>
      <c r="C32" s="19" t="s">
        <v>95</v>
      </c>
      <c r="D32" s="14" t="s">
        <v>548</v>
      </c>
      <c r="E32" s="14" t="s">
        <v>536</v>
      </c>
      <c r="F32" s="19" t="s">
        <v>314</v>
      </c>
      <c r="G32" s="19" t="s">
        <v>110</v>
      </c>
      <c r="H32" s="19" t="s">
        <v>98</v>
      </c>
      <c r="I32" s="19" t="s">
        <v>95</v>
      </c>
      <c r="J32" s="19" t="s">
        <v>314</v>
      </c>
      <c r="K32" s="26" t="str">
        <f>HYPERLINK("https://maxxton.atlassian.net/browse/QA-22639","QA-22639")</f>
        <v>QA-22639</v>
      </c>
      <c r="L32" s="19" t="s">
        <v>531</v>
      </c>
      <c r="M32" s="8" t="s">
        <v>588</v>
      </c>
      <c r="N32" s="65" t="s">
        <v>110</v>
      </c>
      <c r="O32" s="65" t="s">
        <v>549</v>
      </c>
    </row>
    <row r="33">
      <c r="A33" s="25" t="str">
        <f>HYPERLINK("https://maxxton.atlassian.net/browse/QA-22962","QA-22962")</f>
        <v>QA-22962</v>
      </c>
      <c r="B33" s="19" t="s">
        <v>589</v>
      </c>
      <c r="C33" s="19" t="s">
        <v>95</v>
      </c>
      <c r="D33" s="14" t="s">
        <v>548</v>
      </c>
      <c r="E33" s="14" t="s">
        <v>536</v>
      </c>
      <c r="F33" s="19" t="s">
        <v>314</v>
      </c>
      <c r="G33" s="19" t="s">
        <v>110</v>
      </c>
      <c r="H33" s="19" t="s">
        <v>143</v>
      </c>
      <c r="I33" s="19" t="s">
        <v>95</v>
      </c>
      <c r="J33" s="19" t="s">
        <v>314</v>
      </c>
      <c r="K33" s="26" t="str">
        <f>HYPERLINK("https://maxxton.atlassian.net/browse/QA-29110","QA-29110")</f>
        <v>QA-29110</v>
      </c>
      <c r="L33" s="19" t="s">
        <v>514</v>
      </c>
      <c r="N33" s="65" t="s">
        <v>128</v>
      </c>
      <c r="O33" s="65" t="s">
        <v>136</v>
      </c>
    </row>
    <row r="34">
      <c r="A34" s="21"/>
      <c r="B34" s="21"/>
      <c r="C34" s="21"/>
      <c r="D34" s="21"/>
      <c r="E34" s="21"/>
      <c r="F34" s="21"/>
      <c r="G34" s="21"/>
      <c r="H34" s="21"/>
      <c r="I34" s="21"/>
      <c r="J34" s="21"/>
      <c r="K34" s="21"/>
      <c r="L34" s="21"/>
      <c r="N34" s="6"/>
      <c r="O34" s="6"/>
    </row>
    <row r="35">
      <c r="A35" s="21"/>
      <c r="B35" s="21"/>
      <c r="C35" s="21"/>
      <c r="D35" s="21"/>
      <c r="E35" s="21"/>
      <c r="F35" s="21"/>
      <c r="G35" s="21"/>
      <c r="H35" s="21"/>
      <c r="I35" s="21"/>
      <c r="J35" s="21"/>
      <c r="K35" s="21"/>
      <c r="L35" s="21"/>
      <c r="N35" s="6"/>
      <c r="O35" s="6"/>
    </row>
    <row r="36">
      <c r="A36" s="21"/>
      <c r="B36" s="21"/>
      <c r="C36" s="21"/>
      <c r="D36" s="21"/>
      <c r="E36" s="21"/>
      <c r="F36" s="21"/>
      <c r="G36" s="21"/>
      <c r="H36" s="21"/>
      <c r="I36" s="21"/>
      <c r="J36" s="21"/>
      <c r="K36" s="21"/>
      <c r="L36" s="21"/>
      <c r="N36" s="6"/>
      <c r="O36" s="6"/>
    </row>
    <row r="37">
      <c r="A37" s="21"/>
      <c r="B37" s="21"/>
      <c r="C37" s="21"/>
      <c r="D37" s="21"/>
      <c r="E37" s="21"/>
      <c r="F37" s="21"/>
      <c r="G37" s="21"/>
      <c r="H37" s="21"/>
      <c r="I37" s="21"/>
      <c r="J37" s="21"/>
      <c r="K37" s="21"/>
      <c r="L37" s="21"/>
      <c r="N37" s="6"/>
      <c r="O37" s="6"/>
    </row>
    <row r="38">
      <c r="A38" s="21"/>
      <c r="B38" s="21"/>
      <c r="C38" s="21"/>
      <c r="D38" s="21"/>
      <c r="E38" s="21"/>
      <c r="F38" s="21"/>
      <c r="G38" s="21"/>
      <c r="H38" s="21"/>
      <c r="I38" s="21"/>
      <c r="J38" s="21"/>
      <c r="K38" s="21"/>
      <c r="L38" s="21"/>
      <c r="N38" s="6"/>
      <c r="O38" s="6"/>
    </row>
    <row r="39">
      <c r="A39" s="21"/>
      <c r="B39" s="21"/>
      <c r="C39" s="21"/>
      <c r="D39" s="21"/>
      <c r="E39" s="21"/>
      <c r="F39" s="21"/>
      <c r="G39" s="21"/>
      <c r="H39" s="21"/>
      <c r="I39" s="21"/>
      <c r="J39" s="21"/>
      <c r="K39" s="21"/>
      <c r="L39" s="21"/>
      <c r="N39" s="6"/>
      <c r="O39" s="6"/>
    </row>
    <row r="40">
      <c r="A40" s="21"/>
      <c r="B40" s="21"/>
      <c r="C40" s="21"/>
      <c r="D40" s="21"/>
      <c r="E40" s="21"/>
      <c r="F40" s="21"/>
      <c r="G40" s="21"/>
      <c r="H40" s="21"/>
      <c r="I40" s="21"/>
      <c r="J40" s="21"/>
      <c r="K40" s="21"/>
      <c r="L40" s="21"/>
      <c r="N40" s="6"/>
      <c r="O40" s="6"/>
    </row>
    <row r="41">
      <c r="A41" s="21"/>
      <c r="B41" s="21"/>
      <c r="C41" s="21"/>
      <c r="D41" s="21"/>
      <c r="E41" s="21"/>
      <c r="F41" s="21"/>
      <c r="G41" s="21"/>
      <c r="H41" s="21"/>
      <c r="I41" s="21"/>
      <c r="J41" s="21"/>
      <c r="K41" s="21"/>
      <c r="L41" s="21"/>
      <c r="N41" s="6"/>
      <c r="O41" s="6"/>
    </row>
    <row r="42">
      <c r="A42" s="21"/>
      <c r="B42" s="21"/>
      <c r="C42" s="21"/>
      <c r="D42" s="21"/>
      <c r="E42" s="21"/>
      <c r="F42" s="21"/>
      <c r="G42" s="21"/>
      <c r="H42" s="21"/>
      <c r="I42" s="21"/>
      <c r="J42" s="21"/>
      <c r="K42" s="21"/>
      <c r="L42" s="21"/>
      <c r="N42" s="6"/>
      <c r="O42" s="6"/>
    </row>
    <row r="43">
      <c r="A43" s="21"/>
      <c r="B43" s="21"/>
      <c r="C43" s="21"/>
      <c r="D43" s="21"/>
      <c r="E43" s="21"/>
      <c r="F43" s="21"/>
      <c r="G43" s="21"/>
      <c r="H43" s="21"/>
      <c r="I43" s="21"/>
      <c r="J43" s="21"/>
      <c r="K43" s="21"/>
      <c r="L43" s="21"/>
      <c r="N43" s="6"/>
      <c r="O43" s="6"/>
    </row>
    <row r="44">
      <c r="A44" s="21"/>
      <c r="B44" s="21"/>
      <c r="C44" s="21"/>
      <c r="D44" s="21"/>
      <c r="E44" s="21"/>
      <c r="F44" s="21"/>
      <c r="G44" s="21"/>
      <c r="H44" s="21"/>
      <c r="I44" s="21"/>
      <c r="J44" s="21"/>
      <c r="K44" s="21"/>
      <c r="L44" s="21"/>
      <c r="N44" s="6"/>
      <c r="O44" s="6"/>
    </row>
    <row r="45">
      <c r="A45" s="21"/>
      <c r="B45" s="21"/>
      <c r="C45" s="21"/>
      <c r="D45" s="21"/>
      <c r="E45" s="21"/>
      <c r="F45" s="21"/>
      <c r="G45" s="21"/>
      <c r="H45" s="21"/>
      <c r="I45" s="21"/>
      <c r="J45" s="21"/>
      <c r="K45" s="21"/>
      <c r="L45" s="21"/>
      <c r="N45" s="6"/>
      <c r="O45" s="6"/>
    </row>
    <row r="46">
      <c r="A46" s="21"/>
      <c r="B46" s="21"/>
      <c r="C46" s="21"/>
      <c r="D46" s="21"/>
      <c r="E46" s="21"/>
      <c r="F46" s="21"/>
      <c r="G46" s="21"/>
      <c r="H46" s="21"/>
      <c r="I46" s="21"/>
      <c r="J46" s="21"/>
      <c r="K46" s="21"/>
      <c r="L46" s="21"/>
      <c r="N46" s="6"/>
      <c r="O46" s="6"/>
    </row>
    <row r="47">
      <c r="A47" s="21"/>
      <c r="B47" s="21"/>
      <c r="C47" s="21"/>
      <c r="D47" s="21"/>
      <c r="E47" s="21"/>
      <c r="F47" s="21"/>
      <c r="G47" s="21"/>
      <c r="H47" s="21"/>
      <c r="I47" s="21"/>
      <c r="J47" s="21"/>
      <c r="K47" s="21"/>
      <c r="L47" s="21"/>
      <c r="N47" s="6"/>
      <c r="O47" s="6"/>
    </row>
    <row r="48">
      <c r="A48" s="21"/>
      <c r="B48" s="21"/>
      <c r="C48" s="21"/>
      <c r="D48" s="21"/>
      <c r="E48" s="21"/>
      <c r="F48" s="21"/>
      <c r="G48" s="21"/>
      <c r="H48" s="21"/>
      <c r="I48" s="21"/>
      <c r="J48" s="21"/>
      <c r="K48" s="21"/>
      <c r="L48" s="21"/>
      <c r="N48" s="6"/>
      <c r="O48" s="6"/>
    </row>
    <row r="49">
      <c r="A49" s="21"/>
      <c r="B49" s="21"/>
      <c r="C49" s="21"/>
      <c r="D49" s="21"/>
      <c r="E49" s="21"/>
      <c r="F49" s="21"/>
      <c r="G49" s="21"/>
      <c r="H49" s="21"/>
      <c r="I49" s="21"/>
      <c r="J49" s="21"/>
      <c r="K49" s="21"/>
      <c r="L49" s="21"/>
      <c r="N49" s="6"/>
      <c r="O49" s="6"/>
    </row>
    <row r="50">
      <c r="A50" s="21"/>
      <c r="B50" s="21"/>
      <c r="C50" s="21"/>
      <c r="D50" s="21"/>
      <c r="E50" s="21"/>
      <c r="F50" s="21"/>
      <c r="G50" s="21"/>
      <c r="H50" s="21"/>
      <c r="I50" s="21"/>
      <c r="J50" s="21"/>
      <c r="K50" s="21"/>
      <c r="L50" s="21"/>
      <c r="N50" s="6"/>
      <c r="O50" s="6"/>
    </row>
    <row r="51">
      <c r="A51" s="21"/>
      <c r="B51" s="21"/>
      <c r="C51" s="21"/>
      <c r="D51" s="21"/>
      <c r="E51" s="21"/>
      <c r="F51" s="21"/>
      <c r="G51" s="21"/>
      <c r="H51" s="21"/>
      <c r="I51" s="21"/>
      <c r="J51" s="21"/>
      <c r="K51" s="21"/>
      <c r="L51" s="21"/>
      <c r="N51" s="6"/>
      <c r="O51" s="6"/>
    </row>
    <row r="52">
      <c r="A52" s="21"/>
      <c r="B52" s="21"/>
      <c r="C52" s="21"/>
      <c r="D52" s="21"/>
      <c r="E52" s="21"/>
      <c r="F52" s="21"/>
      <c r="G52" s="21"/>
      <c r="H52" s="21"/>
      <c r="I52" s="21"/>
      <c r="J52" s="21"/>
      <c r="K52" s="21"/>
      <c r="L52" s="21"/>
      <c r="N52" s="6"/>
      <c r="O52" s="6"/>
    </row>
    <row r="53">
      <c r="A53" s="21"/>
      <c r="B53" s="21"/>
      <c r="C53" s="21"/>
      <c r="D53" s="21"/>
      <c r="E53" s="21"/>
      <c r="F53" s="21"/>
      <c r="G53" s="21"/>
      <c r="H53" s="21"/>
      <c r="I53" s="21"/>
      <c r="J53" s="21"/>
      <c r="K53" s="21"/>
      <c r="L53" s="21"/>
      <c r="N53" s="6"/>
      <c r="O53" s="6"/>
    </row>
    <row r="54">
      <c r="A54" s="21"/>
      <c r="B54" s="21"/>
      <c r="C54" s="21"/>
      <c r="D54" s="21"/>
      <c r="E54" s="21"/>
      <c r="F54" s="21"/>
      <c r="G54" s="21"/>
      <c r="H54" s="21"/>
      <c r="I54" s="21"/>
      <c r="J54" s="21"/>
      <c r="K54" s="21"/>
      <c r="L54" s="21"/>
      <c r="N54" s="6"/>
      <c r="O54" s="6"/>
    </row>
    <row r="55">
      <c r="A55" s="21"/>
      <c r="B55" s="21"/>
      <c r="C55" s="21"/>
      <c r="D55" s="21"/>
      <c r="E55" s="21"/>
      <c r="F55" s="21"/>
      <c r="G55" s="21"/>
      <c r="H55" s="21"/>
      <c r="I55" s="21"/>
      <c r="J55" s="21"/>
      <c r="K55" s="21"/>
      <c r="L55" s="21"/>
      <c r="N55" s="6"/>
      <c r="O55" s="6"/>
    </row>
    <row r="56">
      <c r="A56" s="21"/>
      <c r="B56" s="21"/>
      <c r="C56" s="21"/>
      <c r="D56" s="21"/>
      <c r="E56" s="21"/>
      <c r="F56" s="21"/>
      <c r="G56" s="21"/>
      <c r="H56" s="21"/>
      <c r="I56" s="21"/>
      <c r="J56" s="21"/>
      <c r="K56" s="21"/>
      <c r="L56" s="21"/>
      <c r="N56" s="6"/>
      <c r="O56" s="6"/>
    </row>
    <row r="57">
      <c r="A57" s="21"/>
      <c r="B57" s="21"/>
      <c r="C57" s="21"/>
      <c r="D57" s="21"/>
      <c r="E57" s="21"/>
      <c r="F57" s="21"/>
      <c r="G57" s="21"/>
      <c r="H57" s="21"/>
      <c r="I57" s="21"/>
      <c r="J57" s="21"/>
      <c r="K57" s="21"/>
      <c r="L57" s="21"/>
      <c r="N57" s="6"/>
      <c r="O57" s="6"/>
    </row>
    <row r="58">
      <c r="A58" s="21"/>
      <c r="B58" s="21"/>
      <c r="C58" s="21"/>
      <c r="D58" s="21"/>
      <c r="E58" s="21"/>
      <c r="F58" s="21"/>
      <c r="G58" s="21"/>
      <c r="H58" s="21"/>
      <c r="I58" s="21"/>
      <c r="J58" s="21"/>
      <c r="K58" s="21"/>
      <c r="L58" s="21"/>
      <c r="N58" s="6"/>
      <c r="O58" s="6"/>
    </row>
    <row r="59">
      <c r="A59" s="21"/>
      <c r="B59" s="21"/>
      <c r="C59" s="21"/>
      <c r="D59" s="21"/>
      <c r="E59" s="21"/>
      <c r="F59" s="21"/>
      <c r="G59" s="21"/>
      <c r="H59" s="21"/>
      <c r="I59" s="21"/>
      <c r="J59" s="21"/>
      <c r="K59" s="21"/>
      <c r="L59" s="21"/>
      <c r="N59" s="6"/>
      <c r="O59" s="6"/>
    </row>
    <row r="60">
      <c r="A60" s="21"/>
      <c r="B60" s="21"/>
      <c r="C60" s="21"/>
      <c r="D60" s="21"/>
      <c r="E60" s="21"/>
      <c r="F60" s="21"/>
      <c r="G60" s="21"/>
      <c r="H60" s="21"/>
      <c r="I60" s="21"/>
      <c r="J60" s="21"/>
      <c r="K60" s="21"/>
      <c r="L60" s="21"/>
      <c r="N60" s="6"/>
      <c r="O60" s="6"/>
    </row>
    <row r="61">
      <c r="C61" s="24"/>
      <c r="F61" s="24"/>
      <c r="H61" s="24"/>
      <c r="I61" s="24"/>
      <c r="J61" s="24"/>
      <c r="N61" s="6"/>
      <c r="O61" s="6"/>
    </row>
    <row r="62">
      <c r="C62" s="24"/>
      <c r="F62" s="24"/>
      <c r="H62" s="24"/>
      <c r="I62" s="24"/>
      <c r="J62" s="24"/>
      <c r="N62" s="6"/>
      <c r="O62" s="6"/>
    </row>
    <row r="63">
      <c r="C63" s="24"/>
      <c r="F63" s="24"/>
      <c r="H63" s="24"/>
      <c r="I63" s="24"/>
      <c r="J63" s="24"/>
      <c r="N63" s="6"/>
      <c r="O63" s="6"/>
    </row>
    <row r="64">
      <c r="C64" s="24"/>
      <c r="F64" s="24"/>
      <c r="H64" s="24"/>
      <c r="I64" s="24"/>
      <c r="J64" s="24"/>
      <c r="N64" s="6"/>
      <c r="O64" s="6"/>
    </row>
    <row r="65">
      <c r="C65" s="24"/>
      <c r="F65" s="24"/>
      <c r="H65" s="24"/>
      <c r="I65" s="24"/>
      <c r="J65" s="24"/>
      <c r="N65" s="6"/>
      <c r="O65" s="6"/>
    </row>
    <row r="66">
      <c r="C66" s="24"/>
      <c r="F66" s="24"/>
      <c r="H66" s="24"/>
      <c r="I66" s="24"/>
      <c r="J66" s="24"/>
      <c r="N66" s="6"/>
      <c r="O66" s="6"/>
    </row>
    <row r="67">
      <c r="C67" s="24"/>
      <c r="F67" s="24"/>
      <c r="H67" s="24"/>
      <c r="I67" s="24"/>
      <c r="J67" s="24"/>
      <c r="N67" s="6"/>
      <c r="O67" s="6"/>
    </row>
    <row r="68">
      <c r="C68" s="24"/>
      <c r="F68" s="24"/>
      <c r="H68" s="24"/>
      <c r="I68" s="24"/>
      <c r="J68" s="24"/>
      <c r="N68" s="6"/>
      <c r="O68" s="6"/>
    </row>
    <row r="69">
      <c r="C69" s="24"/>
      <c r="F69" s="24"/>
      <c r="H69" s="24"/>
      <c r="I69" s="24"/>
      <c r="J69" s="24"/>
      <c r="N69" s="6"/>
      <c r="O69" s="6"/>
    </row>
    <row r="70">
      <c r="C70" s="24"/>
      <c r="F70" s="24"/>
      <c r="H70" s="24"/>
      <c r="I70" s="24"/>
      <c r="J70" s="24"/>
      <c r="N70" s="6"/>
      <c r="O70" s="6"/>
    </row>
    <row r="71">
      <c r="C71" s="24"/>
      <c r="F71" s="24"/>
      <c r="H71" s="24"/>
      <c r="I71" s="24"/>
      <c r="J71" s="24"/>
      <c r="N71" s="6"/>
      <c r="O71" s="6"/>
    </row>
    <row r="72">
      <c r="C72" s="24"/>
      <c r="F72" s="24"/>
      <c r="H72" s="24"/>
      <c r="I72" s="24"/>
      <c r="J72" s="24"/>
      <c r="N72" s="6"/>
      <c r="O72" s="6"/>
    </row>
    <row r="73">
      <c r="C73" s="24"/>
      <c r="F73" s="24"/>
      <c r="H73" s="24"/>
      <c r="I73" s="24"/>
      <c r="J73" s="24"/>
      <c r="N73" s="6"/>
      <c r="O73" s="6"/>
    </row>
    <row r="74">
      <c r="C74" s="24"/>
      <c r="F74" s="24"/>
      <c r="H74" s="24"/>
      <c r="I74" s="24"/>
      <c r="J74" s="24"/>
      <c r="N74" s="6"/>
      <c r="O74" s="6"/>
    </row>
    <row r="75">
      <c r="C75" s="24"/>
      <c r="F75" s="24"/>
      <c r="H75" s="24"/>
      <c r="I75" s="24"/>
      <c r="J75" s="24"/>
      <c r="N75" s="6"/>
      <c r="O75" s="6"/>
    </row>
    <row r="76">
      <c r="C76" s="24"/>
      <c r="F76" s="24"/>
      <c r="H76" s="24"/>
      <c r="I76" s="24"/>
      <c r="J76" s="24"/>
      <c r="N76" s="6"/>
      <c r="O76" s="6"/>
    </row>
    <row r="77">
      <c r="C77" s="24"/>
      <c r="F77" s="24"/>
      <c r="H77" s="24"/>
      <c r="I77" s="24"/>
      <c r="J77" s="24"/>
      <c r="N77" s="6"/>
      <c r="O77" s="6"/>
    </row>
    <row r="78">
      <c r="C78" s="24"/>
      <c r="F78" s="24"/>
      <c r="H78" s="24"/>
      <c r="I78" s="24"/>
      <c r="J78" s="24"/>
      <c r="N78" s="6"/>
      <c r="O78" s="6"/>
    </row>
    <row r="79">
      <c r="C79" s="24"/>
      <c r="F79" s="24"/>
      <c r="H79" s="24"/>
      <c r="I79" s="24"/>
      <c r="J79" s="24"/>
      <c r="N79" s="6"/>
      <c r="O79" s="6"/>
    </row>
    <row r="80">
      <c r="C80" s="24"/>
      <c r="F80" s="24"/>
      <c r="H80" s="24"/>
      <c r="I80" s="24"/>
      <c r="J80" s="24"/>
      <c r="N80" s="6"/>
      <c r="O80" s="6"/>
    </row>
    <row r="81">
      <c r="C81" s="24"/>
      <c r="F81" s="24"/>
      <c r="H81" s="24"/>
      <c r="I81" s="24"/>
      <c r="J81" s="24"/>
      <c r="N81" s="6"/>
      <c r="O81" s="6"/>
    </row>
    <row r="82">
      <c r="C82" s="24"/>
      <c r="F82" s="24"/>
      <c r="H82" s="24"/>
      <c r="I82" s="24"/>
      <c r="J82" s="24"/>
      <c r="N82" s="6"/>
      <c r="O82" s="6"/>
    </row>
    <row r="83">
      <c r="C83" s="24"/>
      <c r="F83" s="24"/>
      <c r="H83" s="24"/>
      <c r="I83" s="24"/>
      <c r="J83" s="24"/>
      <c r="N83" s="6"/>
      <c r="O83" s="6"/>
    </row>
    <row r="84">
      <c r="C84" s="24"/>
      <c r="F84" s="24"/>
      <c r="H84" s="24"/>
      <c r="I84" s="24"/>
      <c r="J84" s="24"/>
      <c r="N84" s="6"/>
      <c r="O84" s="6"/>
    </row>
    <row r="85">
      <c r="C85" s="24"/>
      <c r="F85" s="24"/>
      <c r="H85" s="24"/>
      <c r="I85" s="24"/>
      <c r="J85" s="24"/>
      <c r="N85" s="6"/>
      <c r="O85" s="6"/>
    </row>
    <row r="86">
      <c r="C86" s="24"/>
      <c r="F86" s="24"/>
      <c r="H86" s="24"/>
      <c r="I86" s="24"/>
      <c r="J86" s="24"/>
      <c r="N86" s="6"/>
      <c r="O86" s="6"/>
    </row>
    <row r="87">
      <c r="C87" s="24"/>
      <c r="F87" s="24"/>
      <c r="H87" s="24"/>
      <c r="I87" s="24"/>
      <c r="J87" s="24"/>
      <c r="N87" s="6"/>
      <c r="O87" s="6"/>
    </row>
    <row r="88">
      <c r="C88" s="24"/>
      <c r="F88" s="24"/>
      <c r="H88" s="24"/>
      <c r="I88" s="24"/>
      <c r="J88" s="24"/>
      <c r="N88" s="6"/>
      <c r="O88" s="6"/>
    </row>
    <row r="89">
      <c r="C89" s="24"/>
      <c r="F89" s="24"/>
      <c r="H89" s="24"/>
      <c r="I89" s="24"/>
      <c r="J89" s="24"/>
      <c r="N89" s="6"/>
      <c r="O89" s="6"/>
    </row>
    <row r="90">
      <c r="C90" s="24"/>
      <c r="F90" s="24"/>
      <c r="H90" s="24"/>
      <c r="I90" s="24"/>
      <c r="J90" s="24"/>
      <c r="N90" s="6"/>
      <c r="O90" s="6"/>
    </row>
    <row r="91">
      <c r="C91" s="24"/>
      <c r="F91" s="24"/>
      <c r="H91" s="24"/>
      <c r="I91" s="24"/>
      <c r="J91" s="24"/>
      <c r="N91" s="6"/>
      <c r="O91" s="6"/>
    </row>
    <row r="92">
      <c r="C92" s="24"/>
      <c r="F92" s="24"/>
      <c r="H92" s="24"/>
      <c r="I92" s="24"/>
      <c r="J92" s="24"/>
      <c r="N92" s="6"/>
      <c r="O92" s="6"/>
    </row>
    <row r="93">
      <c r="C93" s="24"/>
      <c r="F93" s="24"/>
      <c r="H93" s="24"/>
      <c r="I93" s="24"/>
      <c r="J93" s="24"/>
      <c r="N93" s="6"/>
      <c r="O93" s="6"/>
    </row>
    <row r="94">
      <c r="C94" s="24"/>
      <c r="F94" s="24"/>
      <c r="H94" s="24"/>
      <c r="I94" s="24"/>
      <c r="J94" s="24"/>
      <c r="N94" s="6"/>
      <c r="O94" s="6"/>
    </row>
    <row r="95">
      <c r="C95" s="24"/>
      <c r="F95" s="24"/>
      <c r="H95" s="24"/>
      <c r="I95" s="24"/>
      <c r="J95" s="24"/>
      <c r="N95" s="6"/>
      <c r="O95" s="6"/>
    </row>
    <row r="96">
      <c r="C96" s="24"/>
      <c r="F96" s="24"/>
      <c r="H96" s="24"/>
      <c r="I96" s="24"/>
      <c r="J96" s="24"/>
      <c r="N96" s="6"/>
      <c r="O96" s="6"/>
    </row>
    <row r="97">
      <c r="C97" s="24"/>
      <c r="F97" s="24"/>
      <c r="H97" s="24"/>
      <c r="I97" s="24"/>
      <c r="J97" s="24"/>
      <c r="N97" s="6"/>
      <c r="O97" s="6"/>
    </row>
    <row r="98">
      <c r="C98" s="24"/>
      <c r="F98" s="24"/>
      <c r="H98" s="24"/>
      <c r="I98" s="24"/>
      <c r="J98" s="24"/>
      <c r="N98" s="6"/>
      <c r="O98" s="6"/>
    </row>
    <row r="99">
      <c r="C99" s="24"/>
      <c r="F99" s="24"/>
      <c r="H99" s="24"/>
      <c r="I99" s="24"/>
      <c r="J99" s="24"/>
      <c r="N99" s="6"/>
      <c r="O99" s="6"/>
    </row>
    <row r="100">
      <c r="C100" s="24"/>
      <c r="F100" s="24"/>
      <c r="H100" s="24"/>
      <c r="I100" s="24"/>
      <c r="J100" s="24"/>
      <c r="N100" s="6"/>
      <c r="O100" s="6"/>
    </row>
    <row r="101">
      <c r="C101" s="24"/>
      <c r="F101" s="24"/>
      <c r="H101" s="24"/>
      <c r="I101" s="24"/>
      <c r="J101" s="24"/>
      <c r="N101" s="6"/>
      <c r="O101" s="6"/>
    </row>
    <row r="102">
      <c r="C102" s="24"/>
      <c r="F102" s="24"/>
      <c r="H102" s="24"/>
      <c r="I102" s="24"/>
      <c r="J102" s="24"/>
      <c r="N102" s="6"/>
      <c r="O102" s="6"/>
    </row>
    <row r="103">
      <c r="C103" s="24"/>
      <c r="F103" s="24"/>
      <c r="H103" s="24"/>
      <c r="I103" s="24"/>
      <c r="J103" s="24"/>
      <c r="N103" s="6"/>
      <c r="O103" s="6"/>
    </row>
    <row r="104">
      <c r="C104" s="24"/>
      <c r="F104" s="24"/>
      <c r="H104" s="24"/>
      <c r="I104" s="24"/>
      <c r="J104" s="24"/>
      <c r="N104" s="6"/>
      <c r="O104" s="6"/>
    </row>
    <row r="105">
      <c r="C105" s="24"/>
      <c r="F105" s="24"/>
      <c r="H105" s="24"/>
      <c r="I105" s="24"/>
      <c r="J105" s="24"/>
      <c r="N105" s="6"/>
      <c r="O105" s="6"/>
    </row>
    <row r="106">
      <c r="C106" s="24"/>
      <c r="F106" s="24"/>
      <c r="H106" s="24"/>
      <c r="I106" s="24"/>
      <c r="J106" s="24"/>
      <c r="N106" s="6"/>
      <c r="O106" s="6"/>
    </row>
    <row r="107">
      <c r="C107" s="24"/>
      <c r="F107" s="24"/>
      <c r="H107" s="24"/>
      <c r="I107" s="24"/>
      <c r="J107" s="24"/>
      <c r="N107" s="6"/>
      <c r="O107" s="6"/>
    </row>
    <row r="108">
      <c r="C108" s="24"/>
      <c r="F108" s="24"/>
      <c r="H108" s="24"/>
      <c r="I108" s="24"/>
      <c r="J108" s="24"/>
      <c r="N108" s="6"/>
      <c r="O108" s="6"/>
    </row>
    <row r="109">
      <c r="C109" s="24"/>
      <c r="F109" s="24"/>
      <c r="H109" s="24"/>
      <c r="I109" s="24"/>
      <c r="J109" s="24"/>
      <c r="N109" s="6"/>
      <c r="O109" s="6"/>
    </row>
    <row r="110">
      <c r="C110" s="24"/>
      <c r="F110" s="24"/>
      <c r="H110" s="24"/>
      <c r="I110" s="24"/>
      <c r="J110" s="24"/>
      <c r="N110" s="6"/>
      <c r="O110" s="6"/>
    </row>
    <row r="111">
      <c r="C111" s="24"/>
      <c r="F111" s="24"/>
      <c r="H111" s="24"/>
      <c r="I111" s="24"/>
      <c r="J111" s="24"/>
      <c r="N111" s="6"/>
      <c r="O111" s="6"/>
    </row>
    <row r="112">
      <c r="C112" s="24"/>
      <c r="F112" s="24"/>
      <c r="H112" s="24"/>
      <c r="I112" s="24"/>
      <c r="J112" s="24"/>
      <c r="N112" s="6"/>
      <c r="O112" s="6"/>
    </row>
    <row r="113">
      <c r="C113" s="24"/>
      <c r="F113" s="24"/>
      <c r="H113" s="24"/>
      <c r="I113" s="24"/>
      <c r="J113" s="24"/>
      <c r="N113" s="6"/>
      <c r="O113" s="6"/>
    </row>
    <row r="114">
      <c r="C114" s="24"/>
      <c r="F114" s="24"/>
      <c r="H114" s="24"/>
      <c r="I114" s="24"/>
      <c r="J114" s="24"/>
      <c r="N114" s="6"/>
      <c r="O114" s="6"/>
    </row>
    <row r="115">
      <c r="C115" s="24"/>
      <c r="F115" s="24"/>
      <c r="H115" s="24"/>
      <c r="I115" s="24"/>
      <c r="J115" s="24"/>
      <c r="N115" s="6"/>
      <c r="O115" s="6"/>
    </row>
    <row r="116">
      <c r="C116" s="24"/>
      <c r="F116" s="24"/>
      <c r="H116" s="24"/>
      <c r="I116" s="24"/>
      <c r="J116" s="24"/>
      <c r="N116" s="6"/>
      <c r="O116" s="6"/>
    </row>
    <row r="117">
      <c r="C117" s="24"/>
      <c r="F117" s="24"/>
      <c r="H117" s="24"/>
      <c r="I117" s="24"/>
      <c r="J117" s="24"/>
      <c r="N117" s="6"/>
      <c r="O117" s="6"/>
    </row>
    <row r="118">
      <c r="C118" s="24"/>
      <c r="F118" s="24"/>
      <c r="H118" s="24"/>
      <c r="I118" s="24"/>
      <c r="J118" s="24"/>
      <c r="N118" s="6"/>
      <c r="O118" s="6"/>
    </row>
    <row r="119">
      <c r="C119" s="24"/>
      <c r="F119" s="24"/>
      <c r="H119" s="24"/>
      <c r="I119" s="24"/>
      <c r="J119" s="24"/>
      <c r="N119" s="6"/>
      <c r="O119" s="6"/>
    </row>
    <row r="120">
      <c r="C120" s="24"/>
      <c r="F120" s="24"/>
      <c r="H120" s="24"/>
      <c r="I120" s="24"/>
      <c r="J120" s="24"/>
      <c r="N120" s="6"/>
      <c r="O120" s="6"/>
    </row>
    <row r="121">
      <c r="C121" s="24"/>
      <c r="F121" s="24"/>
      <c r="H121" s="24"/>
      <c r="I121" s="24"/>
      <c r="J121" s="24"/>
      <c r="N121" s="6"/>
      <c r="O121" s="6"/>
    </row>
    <row r="122">
      <c r="C122" s="24"/>
      <c r="F122" s="24"/>
      <c r="H122" s="24"/>
      <c r="I122" s="24"/>
      <c r="J122" s="24"/>
      <c r="N122" s="6"/>
      <c r="O122" s="6"/>
    </row>
    <row r="123">
      <c r="C123" s="24"/>
      <c r="F123" s="24"/>
      <c r="H123" s="24"/>
      <c r="I123" s="24"/>
      <c r="J123" s="24"/>
      <c r="N123" s="6"/>
      <c r="O123" s="6"/>
    </row>
    <row r="124">
      <c r="C124" s="24"/>
      <c r="F124" s="24"/>
      <c r="H124" s="24"/>
      <c r="I124" s="24"/>
      <c r="J124" s="24"/>
      <c r="N124" s="6"/>
      <c r="O124" s="6"/>
    </row>
    <row r="125">
      <c r="C125" s="24"/>
      <c r="F125" s="24"/>
      <c r="H125" s="24"/>
      <c r="I125" s="24"/>
      <c r="J125" s="24"/>
      <c r="N125" s="6"/>
      <c r="O125" s="6"/>
    </row>
    <row r="126">
      <c r="C126" s="24"/>
      <c r="F126" s="24"/>
      <c r="H126" s="24"/>
      <c r="I126" s="24"/>
      <c r="J126" s="24"/>
      <c r="N126" s="6"/>
      <c r="O126" s="6"/>
    </row>
    <row r="127">
      <c r="C127" s="24"/>
      <c r="F127" s="24"/>
      <c r="H127" s="24"/>
      <c r="I127" s="24"/>
      <c r="J127" s="24"/>
      <c r="N127" s="6"/>
      <c r="O127" s="6"/>
    </row>
    <row r="128">
      <c r="C128" s="24"/>
      <c r="F128" s="24"/>
      <c r="H128" s="24"/>
      <c r="I128" s="24"/>
      <c r="J128" s="24"/>
      <c r="N128" s="6"/>
      <c r="O128" s="6"/>
    </row>
    <row r="129">
      <c r="C129" s="24"/>
      <c r="F129" s="24"/>
      <c r="H129" s="24"/>
      <c r="I129" s="24"/>
      <c r="J129" s="24"/>
      <c r="N129" s="6"/>
      <c r="O129" s="6"/>
    </row>
    <row r="130">
      <c r="C130" s="24"/>
      <c r="F130" s="24"/>
      <c r="H130" s="24"/>
      <c r="I130" s="24"/>
      <c r="J130" s="24"/>
      <c r="N130" s="6"/>
      <c r="O130" s="6"/>
    </row>
    <row r="131">
      <c r="C131" s="24"/>
      <c r="F131" s="24"/>
      <c r="H131" s="24"/>
      <c r="I131" s="24"/>
      <c r="J131" s="24"/>
      <c r="N131" s="6"/>
      <c r="O131" s="6"/>
    </row>
    <row r="132">
      <c r="C132" s="24"/>
      <c r="F132" s="24"/>
      <c r="H132" s="24"/>
      <c r="I132" s="24"/>
      <c r="J132" s="24"/>
      <c r="N132" s="6"/>
      <c r="O132" s="6"/>
    </row>
    <row r="133">
      <c r="C133" s="24"/>
      <c r="F133" s="24"/>
      <c r="H133" s="24"/>
      <c r="I133" s="24"/>
      <c r="J133" s="24"/>
      <c r="N133" s="6"/>
      <c r="O133" s="6"/>
    </row>
    <row r="134">
      <c r="C134" s="24"/>
      <c r="F134" s="24"/>
      <c r="H134" s="24"/>
      <c r="I134" s="24"/>
      <c r="J134" s="24"/>
      <c r="N134" s="6"/>
      <c r="O134" s="6"/>
    </row>
    <row r="135">
      <c r="C135" s="24"/>
      <c r="F135" s="24"/>
      <c r="H135" s="24"/>
      <c r="I135" s="24"/>
      <c r="J135" s="24"/>
      <c r="N135" s="6"/>
      <c r="O135" s="6"/>
    </row>
    <row r="136">
      <c r="C136" s="24"/>
      <c r="F136" s="24"/>
      <c r="H136" s="24"/>
      <c r="I136" s="24"/>
      <c r="J136" s="24"/>
      <c r="N136" s="6"/>
      <c r="O136" s="6"/>
    </row>
    <row r="137">
      <c r="C137" s="24"/>
      <c r="F137" s="24"/>
      <c r="H137" s="24"/>
      <c r="I137" s="24"/>
      <c r="J137" s="24"/>
      <c r="N137" s="6"/>
      <c r="O137" s="6"/>
    </row>
    <row r="138">
      <c r="C138" s="24"/>
      <c r="F138" s="24"/>
      <c r="H138" s="24"/>
      <c r="I138" s="24"/>
      <c r="J138" s="24"/>
      <c r="N138" s="6"/>
      <c r="O138" s="6"/>
    </row>
    <row r="139">
      <c r="C139" s="24"/>
      <c r="F139" s="24"/>
      <c r="H139" s="24"/>
      <c r="I139" s="24"/>
      <c r="J139" s="24"/>
      <c r="N139" s="6"/>
      <c r="O139" s="6"/>
    </row>
    <row r="140">
      <c r="C140" s="24"/>
      <c r="F140" s="24"/>
      <c r="H140" s="24"/>
      <c r="I140" s="24"/>
      <c r="J140" s="24"/>
      <c r="N140" s="6"/>
      <c r="O140" s="6"/>
    </row>
    <row r="141">
      <c r="C141" s="24"/>
      <c r="F141" s="24"/>
      <c r="H141" s="24"/>
      <c r="I141" s="24"/>
      <c r="J141" s="24"/>
      <c r="N141" s="6"/>
      <c r="O141" s="6"/>
    </row>
    <row r="142">
      <c r="C142" s="24"/>
      <c r="F142" s="24"/>
      <c r="H142" s="24"/>
      <c r="I142" s="24"/>
      <c r="J142" s="24"/>
      <c r="N142" s="6"/>
      <c r="O142" s="6"/>
    </row>
    <row r="143">
      <c r="C143" s="24"/>
      <c r="F143" s="24"/>
      <c r="H143" s="24"/>
      <c r="I143" s="24"/>
      <c r="J143" s="24"/>
      <c r="N143" s="6"/>
      <c r="O143" s="6"/>
    </row>
    <row r="144">
      <c r="C144" s="24"/>
      <c r="F144" s="24"/>
      <c r="H144" s="24"/>
      <c r="I144" s="24"/>
      <c r="J144" s="24"/>
      <c r="N144" s="6"/>
      <c r="O144" s="6"/>
    </row>
    <row r="145">
      <c r="C145" s="24"/>
      <c r="F145" s="24"/>
      <c r="H145" s="24"/>
      <c r="I145" s="24"/>
      <c r="J145" s="24"/>
      <c r="N145" s="6"/>
      <c r="O145" s="6"/>
    </row>
    <row r="146">
      <c r="C146" s="24"/>
      <c r="F146" s="24"/>
      <c r="H146" s="24"/>
      <c r="I146" s="24"/>
      <c r="J146" s="24"/>
      <c r="N146" s="6"/>
      <c r="O146" s="6"/>
    </row>
    <row r="147">
      <c r="C147" s="24"/>
      <c r="F147" s="24"/>
      <c r="H147" s="24"/>
      <c r="I147" s="24"/>
      <c r="J147" s="24"/>
      <c r="N147" s="6"/>
      <c r="O147" s="6"/>
    </row>
    <row r="148">
      <c r="C148" s="24"/>
      <c r="F148" s="24"/>
      <c r="H148" s="24"/>
      <c r="I148" s="24"/>
      <c r="J148" s="24"/>
      <c r="N148" s="6"/>
      <c r="O148" s="6"/>
    </row>
    <row r="149">
      <c r="C149" s="24"/>
      <c r="F149" s="24"/>
      <c r="H149" s="24"/>
      <c r="I149" s="24"/>
      <c r="J149" s="24"/>
      <c r="N149" s="6"/>
      <c r="O149" s="6"/>
    </row>
    <row r="150">
      <c r="C150" s="24"/>
      <c r="F150" s="24"/>
      <c r="H150" s="24"/>
      <c r="I150" s="24"/>
      <c r="J150" s="24"/>
      <c r="N150" s="6"/>
      <c r="O150" s="6"/>
    </row>
    <row r="151">
      <c r="C151" s="24"/>
      <c r="F151" s="24"/>
      <c r="H151" s="24"/>
      <c r="I151" s="24"/>
      <c r="J151" s="24"/>
      <c r="N151" s="6"/>
      <c r="O151" s="6"/>
    </row>
    <row r="152">
      <c r="C152" s="24"/>
      <c r="F152" s="24"/>
      <c r="H152" s="24"/>
      <c r="I152" s="24"/>
      <c r="J152" s="24"/>
      <c r="N152" s="6"/>
      <c r="O152" s="6"/>
    </row>
    <row r="153">
      <c r="C153" s="24"/>
      <c r="F153" s="24"/>
      <c r="H153" s="24"/>
      <c r="I153" s="24"/>
      <c r="J153" s="24"/>
      <c r="N153" s="6"/>
      <c r="O153" s="6"/>
    </row>
    <row r="154">
      <c r="C154" s="24"/>
      <c r="F154" s="24"/>
      <c r="H154" s="24"/>
      <c r="I154" s="24"/>
      <c r="J154" s="24"/>
      <c r="N154" s="6"/>
      <c r="O154" s="6"/>
    </row>
    <row r="155">
      <c r="C155" s="24"/>
      <c r="F155" s="24"/>
      <c r="H155" s="24"/>
      <c r="I155" s="24"/>
      <c r="J155" s="24"/>
      <c r="N155" s="6"/>
      <c r="O155" s="6"/>
    </row>
    <row r="156">
      <c r="C156" s="24"/>
      <c r="F156" s="24"/>
      <c r="H156" s="24"/>
      <c r="I156" s="24"/>
      <c r="J156" s="24"/>
      <c r="N156" s="6"/>
      <c r="O156" s="6"/>
    </row>
    <row r="157">
      <c r="C157" s="24"/>
      <c r="F157" s="24"/>
      <c r="H157" s="24"/>
      <c r="I157" s="24"/>
      <c r="J157" s="24"/>
      <c r="N157" s="6"/>
      <c r="O157" s="6"/>
    </row>
    <row r="158">
      <c r="C158" s="24"/>
      <c r="F158" s="24"/>
      <c r="H158" s="24"/>
      <c r="I158" s="24"/>
      <c r="J158" s="24"/>
      <c r="N158" s="6"/>
      <c r="O158" s="6"/>
    </row>
    <row r="159">
      <c r="C159" s="24"/>
      <c r="F159" s="24"/>
      <c r="H159" s="24"/>
      <c r="I159" s="24"/>
      <c r="J159" s="24"/>
      <c r="N159" s="6"/>
      <c r="O159" s="6"/>
    </row>
    <row r="160">
      <c r="C160" s="24"/>
      <c r="F160" s="24"/>
      <c r="H160" s="24"/>
      <c r="I160" s="24"/>
      <c r="J160" s="24"/>
      <c r="N160" s="6"/>
      <c r="O160" s="6"/>
    </row>
    <row r="161">
      <c r="C161" s="24"/>
      <c r="F161" s="24"/>
      <c r="H161" s="24"/>
      <c r="I161" s="24"/>
      <c r="J161" s="24"/>
      <c r="N161" s="6"/>
      <c r="O161" s="6"/>
    </row>
    <row r="162">
      <c r="C162" s="24"/>
      <c r="F162" s="24"/>
      <c r="H162" s="24"/>
      <c r="I162" s="24"/>
      <c r="J162" s="24"/>
      <c r="N162" s="6"/>
      <c r="O162" s="6"/>
    </row>
    <row r="163">
      <c r="C163" s="24"/>
      <c r="F163" s="24"/>
      <c r="H163" s="24"/>
      <c r="I163" s="24"/>
      <c r="J163" s="24"/>
      <c r="N163" s="6"/>
      <c r="O163" s="6"/>
    </row>
    <row r="164">
      <c r="C164" s="24"/>
      <c r="F164" s="24"/>
      <c r="H164" s="24"/>
      <c r="I164" s="24"/>
      <c r="J164" s="24"/>
      <c r="N164" s="6"/>
      <c r="O164" s="6"/>
    </row>
    <row r="165">
      <c r="C165" s="24"/>
      <c r="F165" s="24"/>
      <c r="H165" s="24"/>
      <c r="I165" s="24"/>
      <c r="J165" s="24"/>
      <c r="N165" s="6"/>
      <c r="O165" s="6"/>
    </row>
    <row r="166">
      <c r="C166" s="24"/>
      <c r="F166" s="24"/>
      <c r="H166" s="24"/>
      <c r="I166" s="24"/>
      <c r="J166" s="24"/>
      <c r="N166" s="6"/>
      <c r="O166" s="6"/>
    </row>
    <row r="167">
      <c r="C167" s="24"/>
      <c r="F167" s="24"/>
      <c r="H167" s="24"/>
      <c r="I167" s="24"/>
      <c r="J167" s="24"/>
      <c r="N167" s="6"/>
      <c r="O167" s="6"/>
    </row>
    <row r="168">
      <c r="C168" s="24"/>
      <c r="F168" s="24"/>
      <c r="H168" s="24"/>
      <c r="I168" s="24"/>
      <c r="J168" s="24"/>
      <c r="N168" s="6"/>
      <c r="O168" s="6"/>
    </row>
    <row r="169">
      <c r="C169" s="24"/>
      <c r="F169" s="24"/>
      <c r="H169" s="24"/>
      <c r="I169" s="24"/>
      <c r="J169" s="24"/>
      <c r="N169" s="6"/>
      <c r="O169" s="6"/>
    </row>
    <row r="170">
      <c r="C170" s="24"/>
      <c r="F170" s="24"/>
      <c r="H170" s="24"/>
      <c r="I170" s="24"/>
      <c r="J170" s="24"/>
      <c r="N170" s="6"/>
      <c r="O170" s="6"/>
    </row>
    <row r="171">
      <c r="C171" s="24"/>
      <c r="F171" s="24"/>
      <c r="H171" s="24"/>
      <c r="I171" s="24"/>
      <c r="J171" s="24"/>
      <c r="N171" s="6"/>
      <c r="O171" s="6"/>
    </row>
    <row r="172">
      <c r="C172" s="24"/>
      <c r="F172" s="24"/>
      <c r="H172" s="24"/>
      <c r="I172" s="24"/>
      <c r="J172" s="24"/>
      <c r="N172" s="6"/>
      <c r="O172" s="6"/>
    </row>
    <row r="173">
      <c r="C173" s="24"/>
      <c r="F173" s="24"/>
      <c r="H173" s="24"/>
      <c r="I173" s="24"/>
      <c r="J173" s="24"/>
      <c r="N173" s="6"/>
      <c r="O173" s="6"/>
    </row>
    <row r="174">
      <c r="C174" s="24"/>
      <c r="F174" s="24"/>
      <c r="H174" s="24"/>
      <c r="I174" s="24"/>
      <c r="J174" s="24"/>
      <c r="N174" s="6"/>
      <c r="O174" s="6"/>
    </row>
    <row r="175">
      <c r="C175" s="24"/>
      <c r="F175" s="24"/>
      <c r="H175" s="24"/>
      <c r="I175" s="24"/>
      <c r="J175" s="24"/>
      <c r="N175" s="6"/>
      <c r="O175" s="6"/>
    </row>
    <row r="176">
      <c r="C176" s="24"/>
      <c r="F176" s="24"/>
      <c r="H176" s="24"/>
      <c r="I176" s="24"/>
      <c r="J176" s="24"/>
      <c r="N176" s="6"/>
      <c r="O176" s="6"/>
    </row>
    <row r="177">
      <c r="C177" s="24"/>
      <c r="F177" s="24"/>
      <c r="H177" s="24"/>
      <c r="I177" s="24"/>
      <c r="J177" s="24"/>
      <c r="N177" s="6"/>
      <c r="O177" s="6"/>
    </row>
    <row r="178">
      <c r="C178" s="24"/>
      <c r="F178" s="24"/>
      <c r="H178" s="24"/>
      <c r="I178" s="24"/>
      <c r="J178" s="24"/>
      <c r="N178" s="6"/>
      <c r="O178" s="6"/>
    </row>
    <row r="179">
      <c r="C179" s="24"/>
      <c r="F179" s="24"/>
      <c r="H179" s="24"/>
      <c r="I179" s="24"/>
      <c r="J179" s="24"/>
      <c r="N179" s="6"/>
      <c r="O179" s="6"/>
    </row>
    <row r="180">
      <c r="C180" s="24"/>
      <c r="F180" s="24"/>
      <c r="H180" s="24"/>
      <c r="I180" s="24"/>
      <c r="J180" s="24"/>
      <c r="N180" s="6"/>
      <c r="O180" s="6"/>
    </row>
    <row r="181">
      <c r="C181" s="24"/>
      <c r="F181" s="24"/>
      <c r="H181" s="24"/>
      <c r="I181" s="24"/>
      <c r="J181" s="24"/>
      <c r="N181" s="6"/>
      <c r="O181" s="6"/>
    </row>
    <row r="182">
      <c r="C182" s="24"/>
      <c r="F182" s="24"/>
      <c r="H182" s="24"/>
      <c r="I182" s="24"/>
      <c r="J182" s="24"/>
      <c r="N182" s="6"/>
      <c r="O182" s="6"/>
    </row>
    <row r="183">
      <c r="C183" s="24"/>
      <c r="F183" s="24"/>
      <c r="H183" s="24"/>
      <c r="I183" s="24"/>
      <c r="J183" s="24"/>
      <c r="N183" s="6"/>
      <c r="O183" s="6"/>
    </row>
    <row r="184">
      <c r="C184" s="24"/>
      <c r="F184" s="24"/>
      <c r="H184" s="24"/>
      <c r="I184" s="24"/>
      <c r="J184" s="24"/>
      <c r="N184" s="6"/>
      <c r="O184" s="6"/>
    </row>
    <row r="185">
      <c r="C185" s="24"/>
      <c r="F185" s="24"/>
      <c r="H185" s="24"/>
      <c r="I185" s="24"/>
      <c r="J185" s="24"/>
      <c r="N185" s="6"/>
      <c r="O185" s="6"/>
    </row>
    <row r="186">
      <c r="C186" s="24"/>
      <c r="F186" s="24"/>
      <c r="H186" s="24"/>
      <c r="I186" s="24"/>
      <c r="J186" s="24"/>
      <c r="N186" s="6"/>
      <c r="O186" s="6"/>
    </row>
    <row r="187">
      <c r="C187" s="24"/>
      <c r="F187" s="24"/>
      <c r="H187" s="24"/>
      <c r="I187" s="24"/>
      <c r="J187" s="24"/>
      <c r="N187" s="6"/>
      <c r="O187" s="6"/>
    </row>
    <row r="188">
      <c r="C188" s="24"/>
      <c r="F188" s="24"/>
      <c r="H188" s="24"/>
      <c r="I188" s="24"/>
      <c r="J188" s="24"/>
      <c r="N188" s="6"/>
      <c r="O188" s="6"/>
    </row>
    <row r="189">
      <c r="C189" s="24"/>
      <c r="F189" s="24"/>
      <c r="H189" s="24"/>
      <c r="I189" s="24"/>
      <c r="J189" s="24"/>
      <c r="N189" s="6"/>
      <c r="O189" s="6"/>
    </row>
    <row r="190">
      <c r="C190" s="24"/>
      <c r="F190" s="24"/>
      <c r="H190" s="24"/>
      <c r="I190" s="24"/>
      <c r="J190" s="24"/>
      <c r="N190" s="6"/>
      <c r="O190" s="6"/>
    </row>
    <row r="191">
      <c r="C191" s="24"/>
      <c r="F191" s="24"/>
      <c r="H191" s="24"/>
      <c r="I191" s="24"/>
      <c r="J191" s="24"/>
      <c r="N191" s="6"/>
      <c r="O191" s="6"/>
    </row>
    <row r="192">
      <c r="C192" s="24"/>
      <c r="F192" s="24"/>
      <c r="H192" s="24"/>
      <c r="I192" s="24"/>
      <c r="J192" s="24"/>
      <c r="N192" s="6"/>
      <c r="O192" s="6"/>
    </row>
    <row r="193">
      <c r="C193" s="24"/>
      <c r="F193" s="24"/>
      <c r="H193" s="24"/>
      <c r="I193" s="24"/>
      <c r="J193" s="24"/>
      <c r="N193" s="6"/>
      <c r="O193" s="6"/>
    </row>
    <row r="194">
      <c r="C194" s="24"/>
      <c r="F194" s="24"/>
      <c r="H194" s="24"/>
      <c r="I194" s="24"/>
      <c r="J194" s="24"/>
      <c r="N194" s="6"/>
      <c r="O194" s="6"/>
    </row>
    <row r="195">
      <c r="C195" s="24"/>
      <c r="F195" s="24"/>
      <c r="H195" s="24"/>
      <c r="I195" s="24"/>
      <c r="J195" s="24"/>
      <c r="N195" s="6"/>
      <c r="O195" s="6"/>
    </row>
    <row r="196">
      <c r="C196" s="24"/>
      <c r="F196" s="24"/>
      <c r="H196" s="24"/>
      <c r="I196" s="24"/>
      <c r="J196" s="24"/>
      <c r="N196" s="6"/>
      <c r="O196" s="6"/>
    </row>
    <row r="197">
      <c r="C197" s="24"/>
      <c r="F197" s="24"/>
      <c r="H197" s="24"/>
      <c r="I197" s="24"/>
      <c r="J197" s="24"/>
      <c r="N197" s="6"/>
      <c r="O197" s="6"/>
    </row>
    <row r="198">
      <c r="C198" s="24"/>
      <c r="F198" s="24"/>
      <c r="H198" s="24"/>
      <c r="I198" s="24"/>
      <c r="J198" s="24"/>
      <c r="N198" s="6"/>
      <c r="O198" s="6"/>
    </row>
    <row r="199">
      <c r="C199" s="24"/>
      <c r="F199" s="24"/>
      <c r="H199" s="24"/>
      <c r="I199" s="24"/>
      <c r="J199" s="24"/>
      <c r="N199" s="6"/>
      <c r="O199" s="6"/>
    </row>
    <row r="200">
      <c r="C200" s="24"/>
      <c r="F200" s="24"/>
      <c r="H200" s="24"/>
      <c r="I200" s="24"/>
      <c r="J200" s="24"/>
      <c r="N200" s="6"/>
      <c r="O200" s="6"/>
    </row>
    <row r="201">
      <c r="C201" s="24"/>
      <c r="F201" s="24"/>
      <c r="H201" s="24"/>
      <c r="I201" s="24"/>
      <c r="J201" s="24"/>
      <c r="N201" s="6"/>
      <c r="O201" s="6"/>
    </row>
    <row r="202">
      <c r="C202" s="24"/>
      <c r="F202" s="24"/>
      <c r="H202" s="24"/>
      <c r="I202" s="24"/>
      <c r="J202" s="24"/>
      <c r="N202" s="6"/>
      <c r="O202" s="6"/>
    </row>
    <row r="203">
      <c r="C203" s="24"/>
      <c r="F203" s="24"/>
      <c r="H203" s="24"/>
      <c r="I203" s="24"/>
      <c r="J203" s="24"/>
      <c r="N203" s="6"/>
      <c r="O203" s="6"/>
    </row>
    <row r="204">
      <c r="C204" s="24"/>
      <c r="F204" s="24"/>
      <c r="H204" s="24"/>
      <c r="I204" s="24"/>
      <c r="J204" s="24"/>
      <c r="N204" s="6"/>
      <c r="O204" s="6"/>
    </row>
    <row r="205">
      <c r="C205" s="24"/>
      <c r="F205" s="24"/>
      <c r="H205" s="24"/>
      <c r="I205" s="24"/>
      <c r="J205" s="24"/>
      <c r="N205" s="6"/>
      <c r="O205" s="6"/>
    </row>
    <row r="206">
      <c r="C206" s="24"/>
      <c r="F206" s="24"/>
      <c r="H206" s="24"/>
      <c r="I206" s="24"/>
      <c r="J206" s="24"/>
      <c r="N206" s="6"/>
      <c r="O206" s="6"/>
    </row>
    <row r="207">
      <c r="C207" s="24"/>
      <c r="F207" s="24"/>
      <c r="H207" s="24"/>
      <c r="I207" s="24"/>
      <c r="J207" s="24"/>
      <c r="N207" s="6"/>
      <c r="O207" s="6"/>
    </row>
    <row r="208">
      <c r="C208" s="24"/>
      <c r="F208" s="24"/>
      <c r="H208" s="24"/>
      <c r="I208" s="24"/>
      <c r="J208" s="24"/>
      <c r="N208" s="6"/>
      <c r="O208" s="6"/>
    </row>
    <row r="209">
      <c r="C209" s="24"/>
      <c r="F209" s="24"/>
      <c r="H209" s="24"/>
      <c r="I209" s="24"/>
      <c r="J209" s="24"/>
      <c r="N209" s="6"/>
      <c r="O209" s="6"/>
    </row>
    <row r="210">
      <c r="C210" s="24"/>
      <c r="F210" s="24"/>
      <c r="H210" s="24"/>
      <c r="I210" s="24"/>
      <c r="J210" s="24"/>
      <c r="N210" s="6"/>
      <c r="O210" s="6"/>
    </row>
    <row r="211">
      <c r="C211" s="24"/>
      <c r="F211" s="24"/>
      <c r="H211" s="24"/>
      <c r="I211" s="24"/>
      <c r="J211" s="24"/>
      <c r="N211" s="6"/>
      <c r="O211" s="6"/>
    </row>
    <row r="212">
      <c r="C212" s="24"/>
      <c r="F212" s="24"/>
      <c r="H212" s="24"/>
      <c r="I212" s="24"/>
      <c r="J212" s="24"/>
      <c r="N212" s="6"/>
      <c r="O212" s="6"/>
    </row>
    <row r="213">
      <c r="C213" s="24"/>
      <c r="F213" s="24"/>
      <c r="H213" s="24"/>
      <c r="I213" s="24"/>
      <c r="J213" s="24"/>
      <c r="N213" s="6"/>
      <c r="O213" s="6"/>
    </row>
    <row r="214">
      <c r="C214" s="24"/>
      <c r="F214" s="24"/>
      <c r="H214" s="24"/>
      <c r="I214" s="24"/>
      <c r="J214" s="24"/>
      <c r="N214" s="6"/>
      <c r="O214" s="6"/>
    </row>
    <row r="215">
      <c r="C215" s="24"/>
      <c r="F215" s="24"/>
      <c r="H215" s="24"/>
      <c r="I215" s="24"/>
      <c r="J215" s="24"/>
      <c r="N215" s="6"/>
      <c r="O215" s="6"/>
    </row>
    <row r="216">
      <c r="C216" s="24"/>
      <c r="F216" s="24"/>
      <c r="H216" s="24"/>
      <c r="I216" s="24"/>
      <c r="J216" s="24"/>
      <c r="N216" s="6"/>
      <c r="O216" s="6"/>
    </row>
    <row r="217">
      <c r="C217" s="24"/>
      <c r="F217" s="24"/>
      <c r="H217" s="24"/>
      <c r="I217" s="24"/>
      <c r="J217" s="24"/>
      <c r="N217" s="6"/>
      <c r="O217" s="6"/>
    </row>
    <row r="218">
      <c r="C218" s="24"/>
      <c r="F218" s="24"/>
      <c r="H218" s="24"/>
      <c r="I218" s="24"/>
      <c r="J218" s="24"/>
      <c r="N218" s="6"/>
      <c r="O218" s="6"/>
    </row>
    <row r="219">
      <c r="C219" s="24"/>
      <c r="F219" s="24"/>
      <c r="H219" s="24"/>
      <c r="I219" s="24"/>
      <c r="J219" s="24"/>
      <c r="N219" s="6"/>
      <c r="O219" s="6"/>
    </row>
    <row r="220">
      <c r="C220" s="24"/>
      <c r="F220" s="24"/>
      <c r="H220" s="24"/>
      <c r="I220" s="24"/>
      <c r="J220" s="24"/>
      <c r="N220" s="6"/>
      <c r="O220" s="6"/>
    </row>
    <row r="221">
      <c r="C221" s="24"/>
      <c r="F221" s="24"/>
      <c r="H221" s="24"/>
      <c r="I221" s="24"/>
      <c r="J221" s="24"/>
      <c r="N221" s="6"/>
      <c r="O221" s="6"/>
    </row>
    <row r="222">
      <c r="C222" s="24"/>
      <c r="F222" s="24"/>
      <c r="H222" s="24"/>
      <c r="I222" s="24"/>
      <c r="J222" s="24"/>
      <c r="N222" s="6"/>
      <c r="O222" s="6"/>
    </row>
    <row r="223">
      <c r="C223" s="24"/>
      <c r="F223" s="24"/>
      <c r="H223" s="24"/>
      <c r="I223" s="24"/>
      <c r="J223" s="24"/>
      <c r="N223" s="6"/>
      <c r="O223" s="6"/>
    </row>
    <row r="224">
      <c r="C224" s="24"/>
      <c r="F224" s="24"/>
      <c r="H224" s="24"/>
      <c r="I224" s="24"/>
      <c r="J224" s="24"/>
      <c r="N224" s="6"/>
      <c r="O224" s="6"/>
    </row>
    <row r="225">
      <c r="C225" s="24"/>
      <c r="F225" s="24"/>
      <c r="H225" s="24"/>
      <c r="I225" s="24"/>
      <c r="J225" s="24"/>
      <c r="N225" s="6"/>
      <c r="O225" s="6"/>
    </row>
    <row r="226">
      <c r="C226" s="24"/>
      <c r="F226" s="24"/>
      <c r="H226" s="24"/>
      <c r="I226" s="24"/>
      <c r="J226" s="24"/>
      <c r="N226" s="6"/>
      <c r="O226" s="6"/>
    </row>
    <row r="227">
      <c r="C227" s="24"/>
      <c r="F227" s="24"/>
      <c r="H227" s="24"/>
      <c r="I227" s="24"/>
      <c r="J227" s="24"/>
      <c r="N227" s="6"/>
      <c r="O227" s="6"/>
    </row>
    <row r="228">
      <c r="C228" s="24"/>
      <c r="F228" s="24"/>
      <c r="H228" s="24"/>
      <c r="I228" s="24"/>
      <c r="J228" s="24"/>
      <c r="N228" s="6"/>
      <c r="O228" s="6"/>
    </row>
    <row r="229">
      <c r="C229" s="24"/>
      <c r="F229" s="24"/>
      <c r="H229" s="24"/>
      <c r="I229" s="24"/>
      <c r="J229" s="24"/>
      <c r="N229" s="6"/>
      <c r="O229" s="6"/>
    </row>
    <row r="230">
      <c r="C230" s="24"/>
      <c r="F230" s="24"/>
      <c r="H230" s="24"/>
      <c r="I230" s="24"/>
      <c r="J230" s="24"/>
      <c r="N230" s="6"/>
      <c r="O230" s="6"/>
    </row>
    <row r="231">
      <c r="C231" s="24"/>
      <c r="F231" s="24"/>
      <c r="H231" s="24"/>
      <c r="I231" s="24"/>
      <c r="J231" s="24"/>
      <c r="N231" s="6"/>
      <c r="O231" s="6"/>
    </row>
    <row r="232">
      <c r="C232" s="24"/>
      <c r="F232" s="24"/>
      <c r="H232" s="24"/>
      <c r="I232" s="24"/>
      <c r="J232" s="24"/>
      <c r="N232" s="6"/>
      <c r="O232" s="6"/>
    </row>
    <row r="233">
      <c r="C233" s="24"/>
      <c r="F233" s="24"/>
      <c r="H233" s="24"/>
      <c r="I233" s="24"/>
      <c r="J233" s="24"/>
      <c r="N233" s="6"/>
      <c r="O233" s="6"/>
    </row>
    <row r="234">
      <c r="C234" s="24"/>
      <c r="F234" s="24"/>
      <c r="H234" s="24"/>
      <c r="I234" s="24"/>
      <c r="J234" s="24"/>
      <c r="N234" s="6"/>
      <c r="O234" s="6"/>
    </row>
    <row r="235">
      <c r="C235" s="24"/>
      <c r="F235" s="24"/>
      <c r="H235" s="24"/>
      <c r="I235" s="24"/>
      <c r="J235" s="24"/>
      <c r="N235" s="6"/>
      <c r="O235" s="6"/>
    </row>
    <row r="236">
      <c r="C236" s="24"/>
      <c r="F236" s="24"/>
      <c r="H236" s="24"/>
      <c r="I236" s="24"/>
      <c r="J236" s="24"/>
      <c r="N236" s="6"/>
      <c r="O236" s="6"/>
    </row>
    <row r="237">
      <c r="C237" s="24"/>
      <c r="F237" s="24"/>
      <c r="H237" s="24"/>
      <c r="I237" s="24"/>
      <c r="J237" s="24"/>
      <c r="N237" s="6"/>
      <c r="O237" s="6"/>
    </row>
    <row r="238">
      <c r="C238" s="24"/>
      <c r="F238" s="24"/>
      <c r="H238" s="24"/>
      <c r="I238" s="24"/>
      <c r="J238" s="24"/>
      <c r="N238" s="6"/>
      <c r="O238" s="6"/>
    </row>
    <row r="239">
      <c r="C239" s="24"/>
      <c r="F239" s="24"/>
      <c r="H239" s="24"/>
      <c r="I239" s="24"/>
      <c r="J239" s="24"/>
      <c r="N239" s="6"/>
      <c r="O239" s="6"/>
    </row>
    <row r="240">
      <c r="C240" s="24"/>
      <c r="F240" s="24"/>
      <c r="H240" s="24"/>
      <c r="I240" s="24"/>
      <c r="J240" s="24"/>
      <c r="N240" s="6"/>
      <c r="O240" s="6"/>
    </row>
    <row r="241">
      <c r="C241" s="24"/>
      <c r="F241" s="24"/>
      <c r="H241" s="24"/>
      <c r="I241" s="24"/>
      <c r="J241" s="24"/>
      <c r="N241" s="6"/>
      <c r="O241" s="6"/>
    </row>
    <row r="242">
      <c r="C242" s="24"/>
      <c r="F242" s="24"/>
      <c r="H242" s="24"/>
      <c r="I242" s="24"/>
      <c r="J242" s="24"/>
      <c r="N242" s="6"/>
      <c r="O242" s="6"/>
    </row>
    <row r="243">
      <c r="C243" s="24"/>
      <c r="F243" s="24"/>
      <c r="H243" s="24"/>
      <c r="I243" s="24"/>
      <c r="J243" s="24"/>
      <c r="N243" s="6"/>
      <c r="O243" s="6"/>
    </row>
    <row r="244">
      <c r="C244" s="24"/>
      <c r="F244" s="24"/>
      <c r="H244" s="24"/>
      <c r="I244" s="24"/>
      <c r="J244" s="24"/>
      <c r="N244" s="6"/>
      <c r="O244" s="6"/>
    </row>
    <row r="245">
      <c r="C245" s="24"/>
      <c r="F245" s="24"/>
      <c r="H245" s="24"/>
      <c r="I245" s="24"/>
      <c r="J245" s="24"/>
      <c r="N245" s="6"/>
      <c r="O245" s="6"/>
    </row>
    <row r="246">
      <c r="C246" s="24"/>
      <c r="F246" s="24"/>
      <c r="H246" s="24"/>
      <c r="I246" s="24"/>
      <c r="J246" s="24"/>
      <c r="N246" s="6"/>
      <c r="O246" s="6"/>
    </row>
    <row r="247">
      <c r="C247" s="24"/>
      <c r="F247" s="24"/>
      <c r="H247" s="24"/>
      <c r="I247" s="24"/>
      <c r="J247" s="24"/>
      <c r="N247" s="6"/>
      <c r="O247" s="6"/>
    </row>
    <row r="248">
      <c r="C248" s="24"/>
      <c r="F248" s="24"/>
      <c r="H248" s="24"/>
      <c r="I248" s="24"/>
      <c r="J248" s="24"/>
      <c r="N248" s="6"/>
      <c r="O248" s="6"/>
    </row>
    <row r="249">
      <c r="C249" s="24"/>
      <c r="F249" s="24"/>
      <c r="H249" s="24"/>
      <c r="I249" s="24"/>
      <c r="J249" s="24"/>
      <c r="N249" s="6"/>
      <c r="O249" s="6"/>
    </row>
    <row r="250">
      <c r="C250" s="24"/>
      <c r="F250" s="24"/>
      <c r="H250" s="24"/>
      <c r="I250" s="24"/>
      <c r="J250" s="24"/>
      <c r="N250" s="6"/>
      <c r="O250" s="6"/>
    </row>
    <row r="251">
      <c r="C251" s="24"/>
      <c r="F251" s="24"/>
      <c r="H251" s="24"/>
      <c r="I251" s="24"/>
      <c r="J251" s="24"/>
      <c r="N251" s="6"/>
      <c r="O251" s="6"/>
    </row>
    <row r="252">
      <c r="C252" s="24"/>
      <c r="F252" s="24"/>
      <c r="H252" s="24"/>
      <c r="I252" s="24"/>
      <c r="J252" s="24"/>
      <c r="N252" s="6"/>
      <c r="O252" s="6"/>
    </row>
    <row r="253">
      <c r="C253" s="24"/>
      <c r="F253" s="24"/>
      <c r="H253" s="24"/>
      <c r="I253" s="24"/>
      <c r="J253" s="24"/>
      <c r="N253" s="6"/>
      <c r="O253" s="6"/>
    </row>
    <row r="254">
      <c r="C254" s="24"/>
      <c r="F254" s="24"/>
      <c r="H254" s="24"/>
      <c r="I254" s="24"/>
      <c r="J254" s="24"/>
      <c r="N254" s="6"/>
      <c r="O254" s="6"/>
    </row>
    <row r="255">
      <c r="C255" s="24"/>
      <c r="F255" s="24"/>
      <c r="H255" s="24"/>
      <c r="I255" s="24"/>
      <c r="J255" s="24"/>
      <c r="N255" s="6"/>
      <c r="O255" s="6"/>
    </row>
    <row r="256">
      <c r="C256" s="24"/>
      <c r="F256" s="24"/>
      <c r="H256" s="24"/>
      <c r="I256" s="24"/>
      <c r="J256" s="24"/>
      <c r="N256" s="6"/>
      <c r="O256" s="6"/>
    </row>
    <row r="257">
      <c r="C257" s="24"/>
      <c r="F257" s="24"/>
      <c r="H257" s="24"/>
      <c r="I257" s="24"/>
      <c r="J257" s="24"/>
      <c r="N257" s="6"/>
      <c r="O257" s="6"/>
    </row>
    <row r="258">
      <c r="C258" s="24"/>
      <c r="F258" s="24"/>
      <c r="H258" s="24"/>
      <c r="I258" s="24"/>
      <c r="J258" s="24"/>
      <c r="N258" s="6"/>
      <c r="O258" s="6"/>
    </row>
    <row r="259">
      <c r="C259" s="24"/>
      <c r="F259" s="24"/>
      <c r="H259" s="24"/>
      <c r="I259" s="24"/>
      <c r="J259" s="24"/>
      <c r="N259" s="6"/>
      <c r="O259" s="6"/>
    </row>
    <row r="260">
      <c r="C260" s="24"/>
      <c r="F260" s="24"/>
      <c r="H260" s="24"/>
      <c r="I260" s="24"/>
      <c r="J260" s="24"/>
      <c r="N260" s="6"/>
      <c r="O260" s="6"/>
    </row>
    <row r="261">
      <c r="C261" s="24"/>
      <c r="F261" s="24"/>
      <c r="H261" s="24"/>
      <c r="I261" s="24"/>
      <c r="J261" s="24"/>
      <c r="N261" s="6"/>
      <c r="O261" s="6"/>
    </row>
    <row r="262">
      <c r="C262" s="24"/>
      <c r="F262" s="24"/>
      <c r="H262" s="24"/>
      <c r="I262" s="24"/>
      <c r="J262" s="24"/>
      <c r="N262" s="6"/>
      <c r="O262" s="6"/>
    </row>
    <row r="263">
      <c r="C263" s="24"/>
      <c r="F263" s="24"/>
      <c r="H263" s="24"/>
      <c r="I263" s="24"/>
      <c r="J263" s="24"/>
      <c r="N263" s="6"/>
      <c r="O263" s="6"/>
    </row>
    <row r="264">
      <c r="C264" s="24"/>
      <c r="F264" s="24"/>
      <c r="H264" s="24"/>
      <c r="I264" s="24"/>
      <c r="J264" s="24"/>
      <c r="N264" s="6"/>
      <c r="O264" s="6"/>
    </row>
    <row r="265">
      <c r="C265" s="24"/>
      <c r="F265" s="24"/>
      <c r="H265" s="24"/>
      <c r="I265" s="24"/>
      <c r="J265" s="24"/>
      <c r="N265" s="6"/>
      <c r="O265" s="6"/>
    </row>
    <row r="266">
      <c r="C266" s="24"/>
      <c r="F266" s="24"/>
      <c r="H266" s="24"/>
      <c r="I266" s="24"/>
      <c r="J266" s="24"/>
      <c r="N266" s="6"/>
      <c r="O266" s="6"/>
    </row>
    <row r="267">
      <c r="C267" s="24"/>
      <c r="F267" s="24"/>
      <c r="H267" s="24"/>
      <c r="I267" s="24"/>
      <c r="J267" s="24"/>
      <c r="N267" s="6"/>
      <c r="O267" s="6"/>
    </row>
    <row r="268">
      <c r="C268" s="24"/>
      <c r="F268" s="24"/>
      <c r="H268" s="24"/>
      <c r="I268" s="24"/>
      <c r="J268" s="24"/>
      <c r="N268" s="6"/>
      <c r="O268" s="6"/>
    </row>
    <row r="269">
      <c r="C269" s="24"/>
      <c r="F269" s="24"/>
      <c r="H269" s="24"/>
      <c r="I269" s="24"/>
      <c r="J269" s="24"/>
      <c r="N269" s="6"/>
      <c r="O269" s="6"/>
    </row>
    <row r="270">
      <c r="C270" s="24"/>
      <c r="F270" s="24"/>
      <c r="H270" s="24"/>
      <c r="I270" s="24"/>
      <c r="J270" s="24"/>
      <c r="N270" s="6"/>
      <c r="O270" s="6"/>
    </row>
    <row r="271">
      <c r="C271" s="24"/>
      <c r="F271" s="24"/>
      <c r="H271" s="24"/>
      <c r="I271" s="24"/>
      <c r="J271" s="24"/>
      <c r="N271" s="6"/>
      <c r="O271" s="6"/>
    </row>
    <row r="272">
      <c r="C272" s="24"/>
      <c r="F272" s="24"/>
      <c r="H272" s="24"/>
      <c r="I272" s="24"/>
      <c r="J272" s="24"/>
      <c r="N272" s="6"/>
      <c r="O272" s="6"/>
    </row>
    <row r="273">
      <c r="C273" s="24"/>
      <c r="F273" s="24"/>
      <c r="H273" s="24"/>
      <c r="I273" s="24"/>
      <c r="J273" s="24"/>
      <c r="N273" s="6"/>
      <c r="O273" s="6"/>
    </row>
    <row r="274">
      <c r="C274" s="24"/>
      <c r="F274" s="24"/>
      <c r="H274" s="24"/>
      <c r="I274" s="24"/>
      <c r="J274" s="24"/>
      <c r="N274" s="6"/>
      <c r="O274" s="6"/>
    </row>
    <row r="275">
      <c r="C275" s="24"/>
      <c r="F275" s="24"/>
      <c r="H275" s="24"/>
      <c r="I275" s="24"/>
      <c r="J275" s="24"/>
      <c r="N275" s="6"/>
      <c r="O275" s="6"/>
    </row>
    <row r="276">
      <c r="C276" s="24"/>
      <c r="F276" s="24"/>
      <c r="H276" s="24"/>
      <c r="I276" s="24"/>
      <c r="J276" s="24"/>
      <c r="N276" s="6"/>
      <c r="O276" s="6"/>
    </row>
    <row r="277">
      <c r="C277" s="24"/>
      <c r="F277" s="24"/>
      <c r="H277" s="24"/>
      <c r="I277" s="24"/>
      <c r="J277" s="24"/>
      <c r="N277" s="6"/>
      <c r="O277" s="6"/>
    </row>
    <row r="278">
      <c r="C278" s="24"/>
      <c r="F278" s="24"/>
      <c r="H278" s="24"/>
      <c r="I278" s="24"/>
      <c r="J278" s="24"/>
      <c r="N278" s="6"/>
      <c r="O278" s="6"/>
    </row>
    <row r="279">
      <c r="C279" s="24"/>
      <c r="F279" s="24"/>
      <c r="H279" s="24"/>
      <c r="I279" s="24"/>
      <c r="J279" s="24"/>
      <c r="N279" s="6"/>
      <c r="O279" s="6"/>
    </row>
    <row r="280">
      <c r="C280" s="24"/>
      <c r="F280" s="24"/>
      <c r="H280" s="24"/>
      <c r="I280" s="24"/>
      <c r="J280" s="24"/>
      <c r="N280" s="6"/>
      <c r="O280" s="6"/>
    </row>
    <row r="281">
      <c r="C281" s="24"/>
      <c r="F281" s="24"/>
      <c r="H281" s="24"/>
      <c r="I281" s="24"/>
      <c r="J281" s="24"/>
      <c r="N281" s="6"/>
      <c r="O281" s="6"/>
    </row>
    <row r="282">
      <c r="C282" s="24"/>
      <c r="F282" s="24"/>
      <c r="H282" s="24"/>
      <c r="I282" s="24"/>
      <c r="J282" s="24"/>
      <c r="N282" s="6"/>
      <c r="O282" s="6"/>
    </row>
    <row r="283">
      <c r="C283" s="24"/>
      <c r="F283" s="24"/>
      <c r="H283" s="24"/>
      <c r="I283" s="24"/>
      <c r="J283" s="24"/>
      <c r="N283" s="6"/>
      <c r="O283" s="6"/>
    </row>
    <row r="284">
      <c r="C284" s="24"/>
      <c r="F284" s="24"/>
      <c r="H284" s="24"/>
      <c r="I284" s="24"/>
      <c r="J284" s="24"/>
      <c r="N284" s="6"/>
      <c r="O284" s="6"/>
    </row>
    <row r="285">
      <c r="C285" s="24"/>
      <c r="F285" s="24"/>
      <c r="H285" s="24"/>
      <c r="I285" s="24"/>
      <c r="J285" s="24"/>
      <c r="N285" s="6"/>
      <c r="O285" s="6"/>
    </row>
    <row r="286">
      <c r="C286" s="24"/>
      <c r="F286" s="24"/>
      <c r="H286" s="24"/>
      <c r="I286" s="24"/>
      <c r="J286" s="24"/>
      <c r="N286" s="6"/>
      <c r="O286" s="6"/>
    </row>
    <row r="287">
      <c r="C287" s="24"/>
      <c r="F287" s="24"/>
      <c r="H287" s="24"/>
      <c r="I287" s="24"/>
      <c r="J287" s="24"/>
      <c r="N287" s="6"/>
      <c r="O287" s="6"/>
    </row>
    <row r="288">
      <c r="C288" s="24"/>
      <c r="F288" s="24"/>
      <c r="H288" s="24"/>
      <c r="I288" s="24"/>
      <c r="J288" s="24"/>
      <c r="N288" s="6"/>
      <c r="O288" s="6"/>
    </row>
    <row r="289">
      <c r="C289" s="24"/>
      <c r="F289" s="24"/>
      <c r="H289" s="24"/>
      <c r="I289" s="24"/>
      <c r="J289" s="24"/>
      <c r="N289" s="6"/>
      <c r="O289" s="6"/>
    </row>
    <row r="290">
      <c r="C290" s="24"/>
      <c r="F290" s="24"/>
      <c r="H290" s="24"/>
      <c r="I290" s="24"/>
      <c r="J290" s="24"/>
      <c r="N290" s="6"/>
      <c r="O290" s="6"/>
    </row>
    <row r="291">
      <c r="C291" s="24"/>
      <c r="F291" s="24"/>
      <c r="H291" s="24"/>
      <c r="I291" s="24"/>
      <c r="J291" s="24"/>
      <c r="N291" s="6"/>
      <c r="O291" s="6"/>
    </row>
    <row r="292">
      <c r="C292" s="24"/>
      <c r="F292" s="24"/>
      <c r="H292" s="24"/>
      <c r="I292" s="24"/>
      <c r="J292" s="24"/>
      <c r="N292" s="6"/>
      <c r="O292" s="6"/>
    </row>
    <row r="293">
      <c r="C293" s="24"/>
      <c r="F293" s="24"/>
      <c r="H293" s="24"/>
      <c r="I293" s="24"/>
      <c r="J293" s="24"/>
      <c r="N293" s="6"/>
      <c r="O293" s="6"/>
    </row>
    <row r="294">
      <c r="C294" s="24"/>
      <c r="F294" s="24"/>
      <c r="H294" s="24"/>
      <c r="I294" s="24"/>
      <c r="J294" s="24"/>
      <c r="N294" s="6"/>
      <c r="O294" s="6"/>
    </row>
    <row r="295">
      <c r="C295" s="24"/>
      <c r="F295" s="24"/>
      <c r="H295" s="24"/>
      <c r="I295" s="24"/>
      <c r="J295" s="24"/>
      <c r="N295" s="6"/>
      <c r="O295" s="6"/>
    </row>
    <row r="296">
      <c r="C296" s="24"/>
      <c r="F296" s="24"/>
      <c r="H296" s="24"/>
      <c r="I296" s="24"/>
      <c r="J296" s="24"/>
      <c r="N296" s="6"/>
      <c r="O296" s="6"/>
    </row>
    <row r="297">
      <c r="C297" s="24"/>
      <c r="F297" s="24"/>
      <c r="H297" s="24"/>
      <c r="I297" s="24"/>
      <c r="J297" s="24"/>
      <c r="N297" s="6"/>
      <c r="O297" s="6"/>
    </row>
    <row r="298">
      <c r="C298" s="24"/>
      <c r="F298" s="24"/>
      <c r="H298" s="24"/>
      <c r="I298" s="24"/>
      <c r="J298" s="24"/>
      <c r="N298" s="6"/>
      <c r="O298" s="6"/>
    </row>
    <row r="299">
      <c r="C299" s="24"/>
      <c r="F299" s="24"/>
      <c r="H299" s="24"/>
      <c r="I299" s="24"/>
      <c r="J299" s="24"/>
      <c r="N299" s="6"/>
      <c r="O299" s="6"/>
    </row>
    <row r="300">
      <c r="C300" s="24"/>
      <c r="F300" s="24"/>
      <c r="H300" s="24"/>
      <c r="I300" s="24"/>
      <c r="J300" s="24"/>
      <c r="N300" s="6"/>
      <c r="O300" s="6"/>
    </row>
    <row r="301">
      <c r="C301" s="24"/>
      <c r="F301" s="24"/>
      <c r="H301" s="24"/>
      <c r="I301" s="24"/>
      <c r="J301" s="24"/>
      <c r="N301" s="6"/>
      <c r="O301" s="6"/>
    </row>
    <row r="302">
      <c r="C302" s="24"/>
      <c r="F302" s="24"/>
      <c r="H302" s="24"/>
      <c r="I302" s="24"/>
      <c r="J302" s="24"/>
      <c r="N302" s="6"/>
      <c r="O302" s="6"/>
    </row>
    <row r="303">
      <c r="C303" s="24"/>
      <c r="F303" s="24"/>
      <c r="H303" s="24"/>
      <c r="I303" s="24"/>
      <c r="J303" s="24"/>
      <c r="N303" s="6"/>
      <c r="O303" s="6"/>
    </row>
    <row r="304">
      <c r="C304" s="24"/>
      <c r="F304" s="24"/>
      <c r="H304" s="24"/>
      <c r="I304" s="24"/>
      <c r="J304" s="24"/>
      <c r="N304" s="6"/>
      <c r="O304" s="6"/>
    </row>
    <row r="305">
      <c r="C305" s="24"/>
      <c r="F305" s="24"/>
      <c r="H305" s="24"/>
      <c r="I305" s="24"/>
      <c r="J305" s="24"/>
      <c r="N305" s="6"/>
      <c r="O305" s="6"/>
    </row>
    <row r="306">
      <c r="C306" s="24"/>
      <c r="F306" s="24"/>
      <c r="H306" s="24"/>
      <c r="I306" s="24"/>
      <c r="J306" s="24"/>
      <c r="N306" s="6"/>
      <c r="O306" s="6"/>
    </row>
    <row r="307">
      <c r="C307" s="24"/>
      <c r="F307" s="24"/>
      <c r="H307" s="24"/>
      <c r="I307" s="24"/>
      <c r="J307" s="24"/>
      <c r="N307" s="6"/>
      <c r="O307" s="6"/>
    </row>
    <row r="308">
      <c r="C308" s="24"/>
      <c r="F308" s="24"/>
      <c r="H308" s="24"/>
      <c r="I308" s="24"/>
      <c r="J308" s="24"/>
      <c r="N308" s="6"/>
      <c r="O308" s="6"/>
    </row>
    <row r="309">
      <c r="C309" s="24"/>
      <c r="F309" s="24"/>
      <c r="H309" s="24"/>
      <c r="I309" s="24"/>
      <c r="J309" s="24"/>
      <c r="N309" s="6"/>
      <c r="O309" s="6"/>
    </row>
    <row r="310">
      <c r="C310" s="24"/>
      <c r="F310" s="24"/>
      <c r="H310" s="24"/>
      <c r="I310" s="24"/>
      <c r="J310" s="24"/>
      <c r="N310" s="6"/>
      <c r="O310" s="6"/>
    </row>
    <row r="311">
      <c r="C311" s="24"/>
      <c r="F311" s="24"/>
      <c r="H311" s="24"/>
      <c r="I311" s="24"/>
      <c r="J311" s="24"/>
      <c r="N311" s="6"/>
      <c r="O311" s="6"/>
    </row>
    <row r="312">
      <c r="C312" s="24"/>
      <c r="F312" s="24"/>
      <c r="H312" s="24"/>
      <c r="I312" s="24"/>
      <c r="J312" s="24"/>
      <c r="N312" s="6"/>
      <c r="O312" s="6"/>
    </row>
    <row r="313">
      <c r="C313" s="24"/>
      <c r="F313" s="24"/>
      <c r="H313" s="24"/>
      <c r="I313" s="24"/>
      <c r="J313" s="24"/>
      <c r="N313" s="6"/>
      <c r="O313" s="6"/>
    </row>
    <row r="314">
      <c r="C314" s="24"/>
      <c r="F314" s="24"/>
      <c r="H314" s="24"/>
      <c r="I314" s="24"/>
      <c r="J314" s="24"/>
      <c r="N314" s="6"/>
      <c r="O314" s="6"/>
    </row>
    <row r="315">
      <c r="C315" s="24"/>
      <c r="F315" s="24"/>
      <c r="H315" s="24"/>
      <c r="I315" s="24"/>
      <c r="J315" s="24"/>
      <c r="N315" s="6"/>
      <c r="O315" s="6"/>
    </row>
    <row r="316">
      <c r="C316" s="24"/>
      <c r="F316" s="24"/>
      <c r="H316" s="24"/>
      <c r="I316" s="24"/>
      <c r="J316" s="24"/>
      <c r="N316" s="6"/>
      <c r="O316" s="6"/>
    </row>
    <row r="317">
      <c r="C317" s="24"/>
      <c r="F317" s="24"/>
      <c r="H317" s="24"/>
      <c r="I317" s="24"/>
      <c r="J317" s="24"/>
      <c r="N317" s="6"/>
      <c r="O317" s="6"/>
    </row>
    <row r="318">
      <c r="C318" s="24"/>
      <c r="F318" s="24"/>
      <c r="H318" s="24"/>
      <c r="I318" s="24"/>
      <c r="J318" s="24"/>
      <c r="N318" s="6"/>
      <c r="O318" s="6"/>
    </row>
    <row r="319">
      <c r="C319" s="24"/>
      <c r="F319" s="24"/>
      <c r="H319" s="24"/>
      <c r="I319" s="24"/>
      <c r="J319" s="24"/>
      <c r="N319" s="6"/>
      <c r="O319" s="6"/>
    </row>
    <row r="320">
      <c r="C320" s="24"/>
      <c r="F320" s="24"/>
      <c r="H320" s="24"/>
      <c r="I320" s="24"/>
      <c r="J320" s="24"/>
      <c r="N320" s="6"/>
      <c r="O320" s="6"/>
    </row>
    <row r="321">
      <c r="C321" s="24"/>
      <c r="F321" s="24"/>
      <c r="H321" s="24"/>
      <c r="I321" s="24"/>
      <c r="J321" s="24"/>
      <c r="N321" s="6"/>
      <c r="O321" s="6"/>
    </row>
    <row r="322">
      <c r="C322" s="24"/>
      <c r="F322" s="24"/>
      <c r="H322" s="24"/>
      <c r="I322" s="24"/>
      <c r="J322" s="24"/>
      <c r="N322" s="6"/>
      <c r="O322" s="6"/>
    </row>
    <row r="323">
      <c r="C323" s="24"/>
      <c r="F323" s="24"/>
      <c r="H323" s="24"/>
      <c r="I323" s="24"/>
      <c r="J323" s="24"/>
      <c r="N323" s="6"/>
      <c r="O323" s="6"/>
    </row>
    <row r="324">
      <c r="C324" s="24"/>
      <c r="F324" s="24"/>
      <c r="H324" s="24"/>
      <c r="I324" s="24"/>
      <c r="J324" s="24"/>
      <c r="N324" s="6"/>
      <c r="O324" s="6"/>
    </row>
    <row r="325">
      <c r="C325" s="24"/>
      <c r="F325" s="24"/>
      <c r="H325" s="24"/>
      <c r="I325" s="24"/>
      <c r="J325" s="24"/>
      <c r="N325" s="6"/>
      <c r="O325" s="6"/>
    </row>
    <row r="326">
      <c r="C326" s="24"/>
      <c r="F326" s="24"/>
      <c r="H326" s="24"/>
      <c r="I326" s="24"/>
      <c r="J326" s="24"/>
      <c r="N326" s="6"/>
      <c r="O326" s="6"/>
    </row>
    <row r="327">
      <c r="C327" s="24"/>
      <c r="F327" s="24"/>
      <c r="H327" s="24"/>
      <c r="I327" s="24"/>
      <c r="J327" s="24"/>
      <c r="N327" s="6"/>
      <c r="O327" s="6"/>
    </row>
    <row r="328">
      <c r="C328" s="24"/>
      <c r="F328" s="24"/>
      <c r="H328" s="24"/>
      <c r="I328" s="24"/>
      <c r="J328" s="24"/>
      <c r="N328" s="6"/>
      <c r="O328" s="6"/>
    </row>
    <row r="329">
      <c r="C329" s="24"/>
      <c r="F329" s="24"/>
      <c r="H329" s="24"/>
      <c r="I329" s="24"/>
      <c r="J329" s="24"/>
      <c r="N329" s="6"/>
      <c r="O329" s="6"/>
    </row>
    <row r="330">
      <c r="C330" s="24"/>
      <c r="F330" s="24"/>
      <c r="H330" s="24"/>
      <c r="I330" s="24"/>
      <c r="J330" s="24"/>
      <c r="N330" s="6"/>
      <c r="O330" s="6"/>
    </row>
    <row r="331">
      <c r="C331" s="24"/>
      <c r="F331" s="24"/>
      <c r="H331" s="24"/>
      <c r="I331" s="24"/>
      <c r="J331" s="24"/>
      <c r="N331" s="6"/>
      <c r="O331" s="6"/>
    </row>
    <row r="332">
      <c r="C332" s="24"/>
      <c r="F332" s="24"/>
      <c r="H332" s="24"/>
      <c r="I332" s="24"/>
      <c r="J332" s="24"/>
      <c r="N332" s="6"/>
      <c r="O332" s="6"/>
    </row>
    <row r="333">
      <c r="C333" s="24"/>
      <c r="F333" s="24"/>
      <c r="H333" s="24"/>
      <c r="I333" s="24"/>
      <c r="J333" s="24"/>
      <c r="N333" s="6"/>
      <c r="O333" s="6"/>
    </row>
    <row r="334">
      <c r="C334" s="24"/>
      <c r="F334" s="24"/>
      <c r="H334" s="24"/>
      <c r="I334" s="24"/>
      <c r="J334" s="24"/>
      <c r="N334" s="6"/>
      <c r="O334" s="6"/>
    </row>
    <row r="335">
      <c r="C335" s="24"/>
      <c r="F335" s="24"/>
      <c r="H335" s="24"/>
      <c r="I335" s="24"/>
      <c r="J335" s="24"/>
      <c r="N335" s="6"/>
      <c r="O335" s="6"/>
    </row>
    <row r="336">
      <c r="C336" s="24"/>
      <c r="F336" s="24"/>
      <c r="H336" s="24"/>
      <c r="I336" s="24"/>
      <c r="J336" s="24"/>
      <c r="N336" s="6"/>
      <c r="O336" s="6"/>
    </row>
    <row r="337">
      <c r="C337" s="24"/>
      <c r="F337" s="24"/>
      <c r="H337" s="24"/>
      <c r="I337" s="24"/>
      <c r="J337" s="24"/>
      <c r="N337" s="6"/>
      <c r="O337" s="6"/>
    </row>
    <row r="338">
      <c r="C338" s="24"/>
      <c r="F338" s="24"/>
      <c r="H338" s="24"/>
      <c r="I338" s="24"/>
      <c r="J338" s="24"/>
      <c r="N338" s="6"/>
      <c r="O338" s="6"/>
    </row>
    <row r="339">
      <c r="C339" s="24"/>
      <c r="F339" s="24"/>
      <c r="H339" s="24"/>
      <c r="I339" s="24"/>
      <c r="J339" s="24"/>
      <c r="N339" s="6"/>
      <c r="O339" s="6"/>
    </row>
    <row r="340">
      <c r="C340" s="24"/>
      <c r="F340" s="24"/>
      <c r="H340" s="24"/>
      <c r="I340" s="24"/>
      <c r="J340" s="24"/>
      <c r="N340" s="6"/>
      <c r="O340" s="6"/>
    </row>
    <row r="341">
      <c r="C341" s="24"/>
      <c r="F341" s="24"/>
      <c r="H341" s="24"/>
      <c r="I341" s="24"/>
      <c r="J341" s="24"/>
      <c r="N341" s="6"/>
      <c r="O341" s="6"/>
    </row>
    <row r="342">
      <c r="C342" s="24"/>
      <c r="F342" s="24"/>
      <c r="H342" s="24"/>
      <c r="I342" s="24"/>
      <c r="J342" s="24"/>
      <c r="N342" s="6"/>
      <c r="O342" s="6"/>
    </row>
    <row r="343">
      <c r="C343" s="24"/>
      <c r="F343" s="24"/>
      <c r="H343" s="24"/>
      <c r="I343" s="24"/>
      <c r="J343" s="24"/>
      <c r="N343" s="6"/>
      <c r="O343" s="6"/>
    </row>
    <row r="344">
      <c r="C344" s="24"/>
      <c r="F344" s="24"/>
      <c r="H344" s="24"/>
      <c r="I344" s="24"/>
      <c r="J344" s="24"/>
      <c r="N344" s="6"/>
      <c r="O344" s="6"/>
    </row>
    <row r="345">
      <c r="C345" s="24"/>
      <c r="F345" s="24"/>
      <c r="H345" s="24"/>
      <c r="I345" s="24"/>
      <c r="J345" s="24"/>
      <c r="N345" s="6"/>
      <c r="O345" s="6"/>
    </row>
    <row r="346">
      <c r="C346" s="24"/>
      <c r="F346" s="24"/>
      <c r="H346" s="24"/>
      <c r="I346" s="24"/>
      <c r="J346" s="24"/>
      <c r="N346" s="6"/>
      <c r="O346" s="6"/>
    </row>
    <row r="347">
      <c r="C347" s="24"/>
      <c r="F347" s="24"/>
      <c r="H347" s="24"/>
      <c r="I347" s="24"/>
      <c r="J347" s="24"/>
      <c r="N347" s="6"/>
      <c r="O347" s="6"/>
    </row>
    <row r="348">
      <c r="C348" s="24"/>
      <c r="F348" s="24"/>
      <c r="H348" s="24"/>
      <c r="I348" s="24"/>
      <c r="J348" s="24"/>
      <c r="N348" s="6"/>
      <c r="O348" s="6"/>
    </row>
    <row r="349">
      <c r="C349" s="24"/>
      <c r="F349" s="24"/>
      <c r="H349" s="24"/>
      <c r="I349" s="24"/>
      <c r="J349" s="24"/>
      <c r="N349" s="6"/>
      <c r="O349" s="6"/>
    </row>
    <row r="350">
      <c r="C350" s="24"/>
      <c r="F350" s="24"/>
      <c r="H350" s="24"/>
      <c r="I350" s="24"/>
      <c r="J350" s="24"/>
      <c r="N350" s="6"/>
      <c r="O350" s="6"/>
    </row>
    <row r="351">
      <c r="C351" s="24"/>
      <c r="F351" s="24"/>
      <c r="H351" s="24"/>
      <c r="I351" s="24"/>
      <c r="J351" s="24"/>
      <c r="N351" s="6"/>
      <c r="O351" s="6"/>
    </row>
    <row r="352">
      <c r="C352" s="24"/>
      <c r="F352" s="24"/>
      <c r="H352" s="24"/>
      <c r="I352" s="24"/>
      <c r="J352" s="24"/>
      <c r="N352" s="6"/>
      <c r="O352" s="6"/>
    </row>
    <row r="353">
      <c r="C353" s="24"/>
      <c r="F353" s="24"/>
      <c r="H353" s="24"/>
      <c r="I353" s="24"/>
      <c r="J353" s="24"/>
      <c r="N353" s="6"/>
      <c r="O353" s="6"/>
    </row>
    <row r="354">
      <c r="C354" s="24"/>
      <c r="F354" s="24"/>
      <c r="H354" s="24"/>
      <c r="I354" s="24"/>
      <c r="J354" s="24"/>
      <c r="N354" s="6"/>
      <c r="O354" s="6"/>
    </row>
    <row r="355">
      <c r="C355" s="24"/>
      <c r="F355" s="24"/>
      <c r="H355" s="24"/>
      <c r="I355" s="24"/>
      <c r="J355" s="24"/>
      <c r="N355" s="6"/>
      <c r="O355" s="6"/>
    </row>
    <row r="356">
      <c r="C356" s="24"/>
      <c r="F356" s="24"/>
      <c r="H356" s="24"/>
      <c r="I356" s="24"/>
      <c r="J356" s="24"/>
      <c r="N356" s="6"/>
      <c r="O356" s="6"/>
    </row>
    <row r="357">
      <c r="C357" s="24"/>
      <c r="F357" s="24"/>
      <c r="H357" s="24"/>
      <c r="I357" s="24"/>
      <c r="J357" s="24"/>
      <c r="N357" s="6"/>
      <c r="O357" s="6"/>
    </row>
    <row r="358">
      <c r="C358" s="24"/>
      <c r="F358" s="24"/>
      <c r="H358" s="24"/>
      <c r="I358" s="24"/>
      <c r="J358" s="24"/>
      <c r="N358" s="6"/>
      <c r="O358" s="6"/>
    </row>
    <row r="359">
      <c r="C359" s="24"/>
      <c r="F359" s="24"/>
      <c r="H359" s="24"/>
      <c r="I359" s="24"/>
      <c r="J359" s="24"/>
      <c r="N359" s="6"/>
      <c r="O359" s="6"/>
    </row>
    <row r="360">
      <c r="C360" s="24"/>
      <c r="F360" s="24"/>
      <c r="H360" s="24"/>
      <c r="I360" s="24"/>
      <c r="J360" s="24"/>
      <c r="N360" s="6"/>
      <c r="O360" s="6"/>
    </row>
    <row r="361">
      <c r="C361" s="24"/>
      <c r="F361" s="24"/>
      <c r="H361" s="24"/>
      <c r="I361" s="24"/>
      <c r="J361" s="24"/>
      <c r="N361" s="6"/>
      <c r="O361" s="6"/>
    </row>
    <row r="362">
      <c r="C362" s="24"/>
      <c r="F362" s="24"/>
      <c r="H362" s="24"/>
      <c r="I362" s="24"/>
      <c r="J362" s="24"/>
      <c r="N362" s="6"/>
      <c r="O362" s="6"/>
    </row>
    <row r="363">
      <c r="C363" s="24"/>
      <c r="F363" s="24"/>
      <c r="H363" s="24"/>
      <c r="I363" s="24"/>
      <c r="J363" s="24"/>
      <c r="N363" s="6"/>
      <c r="O363" s="6"/>
    </row>
    <row r="364">
      <c r="C364" s="24"/>
      <c r="F364" s="24"/>
      <c r="H364" s="24"/>
      <c r="I364" s="24"/>
      <c r="J364" s="24"/>
      <c r="N364" s="6"/>
      <c r="O364" s="6"/>
    </row>
    <row r="365">
      <c r="C365" s="24"/>
      <c r="F365" s="24"/>
      <c r="H365" s="24"/>
      <c r="I365" s="24"/>
      <c r="J365" s="24"/>
      <c r="N365" s="6"/>
      <c r="O365" s="6"/>
    </row>
    <row r="366">
      <c r="C366" s="24"/>
      <c r="F366" s="24"/>
      <c r="H366" s="24"/>
      <c r="I366" s="24"/>
      <c r="J366" s="24"/>
      <c r="N366" s="6"/>
      <c r="O366" s="6"/>
    </row>
    <row r="367">
      <c r="C367" s="24"/>
      <c r="F367" s="24"/>
      <c r="H367" s="24"/>
      <c r="I367" s="24"/>
      <c r="J367" s="24"/>
      <c r="N367" s="6"/>
      <c r="O367" s="6"/>
    </row>
    <row r="368">
      <c r="C368" s="24"/>
      <c r="F368" s="24"/>
      <c r="H368" s="24"/>
      <c r="I368" s="24"/>
      <c r="J368" s="24"/>
      <c r="N368" s="6"/>
      <c r="O368" s="6"/>
    </row>
    <row r="369">
      <c r="C369" s="24"/>
      <c r="F369" s="24"/>
      <c r="H369" s="24"/>
      <c r="I369" s="24"/>
      <c r="J369" s="24"/>
      <c r="N369" s="6"/>
      <c r="O369" s="6"/>
    </row>
    <row r="370">
      <c r="C370" s="24"/>
      <c r="F370" s="24"/>
      <c r="H370" s="24"/>
      <c r="I370" s="24"/>
      <c r="J370" s="24"/>
      <c r="N370" s="6"/>
      <c r="O370" s="6"/>
    </row>
    <row r="371">
      <c r="C371" s="24"/>
      <c r="F371" s="24"/>
      <c r="H371" s="24"/>
      <c r="I371" s="24"/>
      <c r="J371" s="24"/>
      <c r="N371" s="6"/>
      <c r="O371" s="6"/>
    </row>
    <row r="372">
      <c r="C372" s="24"/>
      <c r="F372" s="24"/>
      <c r="H372" s="24"/>
      <c r="I372" s="24"/>
      <c r="J372" s="24"/>
      <c r="N372" s="6"/>
      <c r="O372" s="6"/>
    </row>
    <row r="373">
      <c r="C373" s="24"/>
      <c r="F373" s="24"/>
      <c r="H373" s="24"/>
      <c r="I373" s="24"/>
      <c r="J373" s="24"/>
      <c r="N373" s="6"/>
      <c r="O373" s="6"/>
    </row>
    <row r="374">
      <c r="C374" s="24"/>
      <c r="F374" s="24"/>
      <c r="H374" s="24"/>
      <c r="I374" s="24"/>
      <c r="J374" s="24"/>
      <c r="N374" s="6"/>
      <c r="O374" s="6"/>
    </row>
    <row r="375">
      <c r="C375" s="24"/>
      <c r="F375" s="24"/>
      <c r="H375" s="24"/>
      <c r="I375" s="24"/>
      <c r="J375" s="24"/>
      <c r="N375" s="6"/>
      <c r="O375" s="6"/>
    </row>
    <row r="376">
      <c r="C376" s="24"/>
      <c r="F376" s="24"/>
      <c r="H376" s="24"/>
      <c r="I376" s="24"/>
      <c r="J376" s="24"/>
      <c r="N376" s="6"/>
      <c r="O376" s="6"/>
    </row>
    <row r="377">
      <c r="C377" s="24"/>
      <c r="F377" s="24"/>
      <c r="H377" s="24"/>
      <c r="I377" s="24"/>
      <c r="J377" s="24"/>
      <c r="N377" s="6"/>
      <c r="O377" s="6"/>
    </row>
    <row r="378">
      <c r="C378" s="24"/>
      <c r="F378" s="24"/>
      <c r="H378" s="24"/>
      <c r="I378" s="24"/>
      <c r="J378" s="24"/>
      <c r="N378" s="6"/>
      <c r="O378" s="6"/>
    </row>
    <row r="379">
      <c r="C379" s="24"/>
      <c r="F379" s="24"/>
      <c r="H379" s="24"/>
      <c r="I379" s="24"/>
      <c r="J379" s="24"/>
      <c r="N379" s="6"/>
      <c r="O379" s="6"/>
    </row>
    <row r="380">
      <c r="C380" s="24"/>
      <c r="F380" s="24"/>
      <c r="H380" s="24"/>
      <c r="I380" s="24"/>
      <c r="J380" s="24"/>
      <c r="N380" s="6"/>
      <c r="O380" s="6"/>
    </row>
    <row r="381">
      <c r="C381" s="24"/>
      <c r="F381" s="24"/>
      <c r="H381" s="24"/>
      <c r="I381" s="24"/>
      <c r="J381" s="24"/>
      <c r="N381" s="6"/>
      <c r="O381" s="6"/>
    </row>
    <row r="382">
      <c r="C382" s="24"/>
      <c r="F382" s="24"/>
      <c r="H382" s="24"/>
      <c r="I382" s="24"/>
      <c r="J382" s="24"/>
      <c r="N382" s="6"/>
      <c r="O382" s="6"/>
    </row>
    <row r="383">
      <c r="C383" s="24"/>
      <c r="F383" s="24"/>
      <c r="H383" s="24"/>
      <c r="I383" s="24"/>
      <c r="J383" s="24"/>
      <c r="N383" s="6"/>
      <c r="O383" s="6"/>
    </row>
    <row r="384">
      <c r="C384" s="24"/>
      <c r="F384" s="24"/>
      <c r="H384" s="24"/>
      <c r="I384" s="24"/>
      <c r="J384" s="24"/>
      <c r="N384" s="6"/>
      <c r="O384" s="6"/>
    </row>
    <row r="385">
      <c r="C385" s="24"/>
      <c r="F385" s="24"/>
      <c r="H385" s="24"/>
      <c r="I385" s="24"/>
      <c r="J385" s="24"/>
      <c r="N385" s="6"/>
      <c r="O385" s="6"/>
    </row>
    <row r="386">
      <c r="C386" s="24"/>
      <c r="F386" s="24"/>
      <c r="H386" s="24"/>
      <c r="I386" s="24"/>
      <c r="J386" s="24"/>
      <c r="N386" s="6"/>
      <c r="O386" s="6"/>
    </row>
    <row r="387">
      <c r="C387" s="24"/>
      <c r="F387" s="24"/>
      <c r="H387" s="24"/>
      <c r="I387" s="24"/>
      <c r="J387" s="24"/>
      <c r="N387" s="6"/>
      <c r="O387" s="6"/>
    </row>
    <row r="388">
      <c r="C388" s="24"/>
      <c r="F388" s="24"/>
      <c r="H388" s="24"/>
      <c r="I388" s="24"/>
      <c r="J388" s="24"/>
      <c r="N388" s="6"/>
      <c r="O388" s="6"/>
    </row>
    <row r="389">
      <c r="C389" s="24"/>
      <c r="F389" s="24"/>
      <c r="H389" s="24"/>
      <c r="I389" s="24"/>
      <c r="J389" s="24"/>
      <c r="N389" s="6"/>
      <c r="O389" s="6"/>
    </row>
    <row r="390">
      <c r="C390" s="24"/>
      <c r="F390" s="24"/>
      <c r="H390" s="24"/>
      <c r="I390" s="24"/>
      <c r="J390" s="24"/>
      <c r="N390" s="6"/>
      <c r="O390" s="6"/>
    </row>
    <row r="391">
      <c r="C391" s="24"/>
      <c r="F391" s="24"/>
      <c r="H391" s="24"/>
      <c r="I391" s="24"/>
      <c r="J391" s="24"/>
      <c r="N391" s="6"/>
      <c r="O391" s="6"/>
    </row>
    <row r="392">
      <c r="C392" s="24"/>
      <c r="F392" s="24"/>
      <c r="H392" s="24"/>
      <c r="I392" s="24"/>
      <c r="J392" s="24"/>
      <c r="N392" s="6"/>
      <c r="O392" s="6"/>
    </row>
    <row r="393">
      <c r="C393" s="24"/>
      <c r="F393" s="24"/>
      <c r="H393" s="24"/>
      <c r="I393" s="24"/>
      <c r="J393" s="24"/>
      <c r="N393" s="6"/>
      <c r="O393" s="6"/>
    </row>
    <row r="394">
      <c r="C394" s="24"/>
      <c r="F394" s="24"/>
      <c r="H394" s="24"/>
      <c r="I394" s="24"/>
      <c r="J394" s="24"/>
      <c r="N394" s="6"/>
      <c r="O394" s="6"/>
    </row>
    <row r="395">
      <c r="C395" s="24"/>
      <c r="F395" s="24"/>
      <c r="H395" s="24"/>
      <c r="I395" s="24"/>
      <c r="J395" s="24"/>
      <c r="N395" s="6"/>
      <c r="O395" s="6"/>
    </row>
    <row r="396">
      <c r="C396" s="24"/>
      <c r="F396" s="24"/>
      <c r="H396" s="24"/>
      <c r="I396" s="24"/>
      <c r="J396" s="24"/>
      <c r="N396" s="6"/>
      <c r="O396" s="6"/>
    </row>
    <row r="397">
      <c r="C397" s="24"/>
      <c r="F397" s="24"/>
      <c r="H397" s="24"/>
      <c r="I397" s="24"/>
      <c r="J397" s="24"/>
      <c r="N397" s="6"/>
      <c r="O397" s="6"/>
    </row>
    <row r="398">
      <c r="C398" s="24"/>
      <c r="F398" s="24"/>
      <c r="H398" s="24"/>
      <c r="I398" s="24"/>
      <c r="J398" s="24"/>
      <c r="N398" s="6"/>
      <c r="O398" s="6"/>
    </row>
    <row r="399">
      <c r="C399" s="24"/>
      <c r="F399" s="24"/>
      <c r="H399" s="24"/>
      <c r="I399" s="24"/>
      <c r="J399" s="24"/>
      <c r="N399" s="6"/>
      <c r="O399" s="6"/>
    </row>
    <row r="400">
      <c r="C400" s="24"/>
      <c r="F400" s="24"/>
      <c r="H400" s="24"/>
      <c r="I400" s="24"/>
      <c r="J400" s="24"/>
      <c r="N400" s="6"/>
      <c r="O400" s="6"/>
    </row>
    <row r="401">
      <c r="C401" s="24"/>
      <c r="F401" s="24"/>
      <c r="H401" s="24"/>
      <c r="I401" s="24"/>
      <c r="J401" s="24"/>
      <c r="N401" s="6"/>
      <c r="O401" s="6"/>
    </row>
    <row r="402">
      <c r="C402" s="24"/>
      <c r="F402" s="24"/>
      <c r="H402" s="24"/>
      <c r="I402" s="24"/>
      <c r="J402" s="24"/>
      <c r="N402" s="6"/>
      <c r="O402" s="6"/>
    </row>
    <row r="403">
      <c r="C403" s="24"/>
      <c r="F403" s="24"/>
      <c r="H403" s="24"/>
      <c r="I403" s="24"/>
      <c r="J403" s="24"/>
      <c r="N403" s="6"/>
      <c r="O403" s="6"/>
    </row>
    <row r="404">
      <c r="C404" s="24"/>
      <c r="F404" s="24"/>
      <c r="H404" s="24"/>
      <c r="I404" s="24"/>
      <c r="J404" s="24"/>
      <c r="N404" s="6"/>
      <c r="O404" s="6"/>
    </row>
    <row r="405">
      <c r="C405" s="24"/>
      <c r="F405" s="24"/>
      <c r="H405" s="24"/>
      <c r="I405" s="24"/>
      <c r="J405" s="24"/>
      <c r="N405" s="6"/>
      <c r="O405" s="6"/>
    </row>
    <row r="406">
      <c r="C406" s="24"/>
      <c r="F406" s="24"/>
      <c r="H406" s="24"/>
      <c r="I406" s="24"/>
      <c r="J406" s="24"/>
      <c r="N406" s="6"/>
      <c r="O406" s="6"/>
    </row>
    <row r="407">
      <c r="C407" s="24"/>
      <c r="F407" s="24"/>
      <c r="H407" s="24"/>
      <c r="I407" s="24"/>
      <c r="J407" s="24"/>
      <c r="N407" s="6"/>
      <c r="O407" s="6"/>
    </row>
    <row r="408">
      <c r="C408" s="24"/>
      <c r="F408" s="24"/>
      <c r="H408" s="24"/>
      <c r="I408" s="24"/>
      <c r="J408" s="24"/>
      <c r="N408" s="6"/>
      <c r="O408" s="6"/>
    </row>
    <row r="409">
      <c r="C409" s="24"/>
      <c r="F409" s="24"/>
      <c r="H409" s="24"/>
      <c r="I409" s="24"/>
      <c r="J409" s="24"/>
      <c r="N409" s="6"/>
      <c r="O409" s="6"/>
    </row>
    <row r="410">
      <c r="C410" s="24"/>
      <c r="F410" s="24"/>
      <c r="H410" s="24"/>
      <c r="I410" s="24"/>
      <c r="J410" s="24"/>
      <c r="N410" s="6"/>
      <c r="O410" s="6"/>
    </row>
    <row r="411">
      <c r="C411" s="24"/>
      <c r="F411" s="24"/>
      <c r="H411" s="24"/>
      <c r="I411" s="24"/>
      <c r="J411" s="24"/>
      <c r="N411" s="6"/>
      <c r="O411" s="6"/>
    </row>
    <row r="412">
      <c r="C412" s="24"/>
      <c r="F412" s="24"/>
      <c r="H412" s="24"/>
      <c r="I412" s="24"/>
      <c r="J412" s="24"/>
      <c r="N412" s="6"/>
      <c r="O412" s="6"/>
    </row>
    <row r="413">
      <c r="C413" s="24"/>
      <c r="F413" s="24"/>
      <c r="H413" s="24"/>
      <c r="I413" s="24"/>
      <c r="J413" s="24"/>
      <c r="N413" s="6"/>
      <c r="O413" s="6"/>
    </row>
    <row r="414">
      <c r="C414" s="24"/>
      <c r="F414" s="24"/>
      <c r="H414" s="24"/>
      <c r="I414" s="24"/>
      <c r="J414" s="24"/>
      <c r="N414" s="6"/>
      <c r="O414" s="6"/>
    </row>
    <row r="415">
      <c r="C415" s="24"/>
      <c r="F415" s="24"/>
      <c r="H415" s="24"/>
      <c r="I415" s="24"/>
      <c r="J415" s="24"/>
      <c r="N415" s="6"/>
      <c r="O415" s="6"/>
    </row>
    <row r="416">
      <c r="C416" s="24"/>
      <c r="F416" s="24"/>
      <c r="H416" s="24"/>
      <c r="I416" s="24"/>
      <c r="J416" s="24"/>
      <c r="N416" s="6"/>
      <c r="O416" s="6"/>
    </row>
    <row r="417">
      <c r="C417" s="24"/>
      <c r="F417" s="24"/>
      <c r="H417" s="24"/>
      <c r="I417" s="24"/>
      <c r="J417" s="24"/>
      <c r="N417" s="6"/>
      <c r="O417" s="6"/>
    </row>
    <row r="418">
      <c r="C418" s="24"/>
      <c r="F418" s="24"/>
      <c r="H418" s="24"/>
      <c r="I418" s="24"/>
      <c r="J418" s="24"/>
      <c r="N418" s="6"/>
      <c r="O418" s="6"/>
    </row>
    <row r="419">
      <c r="C419" s="24"/>
      <c r="F419" s="24"/>
      <c r="H419" s="24"/>
      <c r="I419" s="24"/>
      <c r="J419" s="24"/>
      <c r="N419" s="6"/>
      <c r="O419" s="6"/>
    </row>
    <row r="420">
      <c r="C420" s="24"/>
      <c r="F420" s="24"/>
      <c r="H420" s="24"/>
      <c r="I420" s="24"/>
      <c r="J420" s="24"/>
      <c r="N420" s="6"/>
      <c r="O420" s="6"/>
    </row>
    <row r="421">
      <c r="C421" s="24"/>
      <c r="F421" s="24"/>
      <c r="H421" s="24"/>
      <c r="I421" s="24"/>
      <c r="J421" s="24"/>
      <c r="N421" s="6"/>
      <c r="O421" s="6"/>
    </row>
    <row r="422">
      <c r="C422" s="24"/>
      <c r="F422" s="24"/>
      <c r="H422" s="24"/>
      <c r="I422" s="24"/>
      <c r="J422" s="24"/>
      <c r="N422" s="6"/>
      <c r="O422" s="6"/>
    </row>
    <row r="423">
      <c r="C423" s="24"/>
      <c r="F423" s="24"/>
      <c r="H423" s="24"/>
      <c r="I423" s="24"/>
      <c r="J423" s="24"/>
      <c r="N423" s="6"/>
      <c r="O423" s="6"/>
    </row>
    <row r="424">
      <c r="C424" s="24"/>
      <c r="F424" s="24"/>
      <c r="H424" s="24"/>
      <c r="I424" s="24"/>
      <c r="J424" s="24"/>
      <c r="N424" s="6"/>
      <c r="O424" s="6"/>
    </row>
    <row r="425">
      <c r="C425" s="24"/>
      <c r="F425" s="24"/>
      <c r="H425" s="24"/>
      <c r="I425" s="24"/>
      <c r="J425" s="24"/>
      <c r="N425" s="6"/>
      <c r="O425" s="6"/>
    </row>
    <row r="426">
      <c r="C426" s="24"/>
      <c r="F426" s="24"/>
      <c r="H426" s="24"/>
      <c r="I426" s="24"/>
      <c r="J426" s="24"/>
      <c r="N426" s="6"/>
      <c r="O426" s="6"/>
    </row>
    <row r="427">
      <c r="C427" s="24"/>
      <c r="F427" s="24"/>
      <c r="H427" s="24"/>
      <c r="I427" s="24"/>
      <c r="J427" s="24"/>
      <c r="N427" s="6"/>
      <c r="O427" s="6"/>
    </row>
    <row r="428">
      <c r="C428" s="24"/>
      <c r="F428" s="24"/>
      <c r="H428" s="24"/>
      <c r="I428" s="24"/>
      <c r="J428" s="24"/>
      <c r="N428" s="6"/>
      <c r="O428" s="6"/>
    </row>
    <row r="429">
      <c r="C429" s="24"/>
      <c r="F429" s="24"/>
      <c r="H429" s="24"/>
      <c r="I429" s="24"/>
      <c r="J429" s="24"/>
      <c r="N429" s="6"/>
      <c r="O429" s="6"/>
    </row>
    <row r="430">
      <c r="C430" s="24"/>
      <c r="F430" s="24"/>
      <c r="H430" s="24"/>
      <c r="I430" s="24"/>
      <c r="J430" s="24"/>
      <c r="N430" s="6"/>
      <c r="O430" s="6"/>
    </row>
    <row r="431">
      <c r="C431" s="24"/>
      <c r="F431" s="24"/>
      <c r="H431" s="24"/>
      <c r="I431" s="24"/>
      <c r="J431" s="24"/>
      <c r="N431" s="6"/>
      <c r="O431" s="6"/>
    </row>
    <row r="432">
      <c r="C432" s="24"/>
      <c r="F432" s="24"/>
      <c r="H432" s="24"/>
      <c r="I432" s="24"/>
      <c r="J432" s="24"/>
      <c r="N432" s="6"/>
      <c r="O432" s="6"/>
    </row>
    <row r="433">
      <c r="C433" s="24"/>
      <c r="F433" s="24"/>
      <c r="H433" s="24"/>
      <c r="I433" s="24"/>
      <c r="J433" s="24"/>
      <c r="N433" s="6"/>
      <c r="O433" s="6"/>
    </row>
    <row r="434">
      <c r="C434" s="24"/>
      <c r="F434" s="24"/>
      <c r="H434" s="24"/>
      <c r="I434" s="24"/>
      <c r="J434" s="24"/>
      <c r="N434" s="6"/>
      <c r="O434" s="6"/>
    </row>
    <row r="435">
      <c r="C435" s="24"/>
      <c r="F435" s="24"/>
      <c r="H435" s="24"/>
      <c r="I435" s="24"/>
      <c r="J435" s="24"/>
      <c r="N435" s="6"/>
      <c r="O435" s="6"/>
    </row>
    <row r="436">
      <c r="C436" s="24"/>
      <c r="F436" s="24"/>
      <c r="H436" s="24"/>
      <c r="I436" s="24"/>
      <c r="J436" s="24"/>
      <c r="N436" s="6"/>
      <c r="O436" s="6"/>
    </row>
    <row r="437">
      <c r="C437" s="24"/>
      <c r="F437" s="24"/>
      <c r="H437" s="24"/>
      <c r="I437" s="24"/>
      <c r="J437" s="24"/>
      <c r="N437" s="6"/>
      <c r="O437" s="6"/>
    </row>
    <row r="438">
      <c r="C438" s="24"/>
      <c r="F438" s="24"/>
      <c r="H438" s="24"/>
      <c r="I438" s="24"/>
      <c r="J438" s="24"/>
      <c r="N438" s="6"/>
      <c r="O438" s="6"/>
    </row>
    <row r="439">
      <c r="C439" s="24"/>
      <c r="F439" s="24"/>
      <c r="H439" s="24"/>
      <c r="I439" s="24"/>
      <c r="J439" s="24"/>
      <c r="N439" s="6"/>
      <c r="O439" s="6"/>
    </row>
    <row r="440">
      <c r="C440" s="24"/>
      <c r="F440" s="24"/>
      <c r="H440" s="24"/>
      <c r="I440" s="24"/>
      <c r="J440" s="24"/>
      <c r="N440" s="6"/>
      <c r="O440" s="6"/>
    </row>
    <row r="441">
      <c r="C441" s="24"/>
      <c r="F441" s="24"/>
      <c r="H441" s="24"/>
      <c r="I441" s="24"/>
      <c r="J441" s="24"/>
      <c r="N441" s="6"/>
      <c r="O441" s="6"/>
    </row>
    <row r="442">
      <c r="C442" s="24"/>
      <c r="F442" s="24"/>
      <c r="H442" s="24"/>
      <c r="I442" s="24"/>
      <c r="J442" s="24"/>
      <c r="N442" s="6"/>
      <c r="O442" s="6"/>
    </row>
    <row r="443">
      <c r="C443" s="24"/>
      <c r="F443" s="24"/>
      <c r="H443" s="24"/>
      <c r="I443" s="24"/>
      <c r="J443" s="24"/>
      <c r="N443" s="6"/>
      <c r="O443" s="6"/>
    </row>
    <row r="444">
      <c r="C444" s="24"/>
      <c r="F444" s="24"/>
      <c r="H444" s="24"/>
      <c r="I444" s="24"/>
      <c r="J444" s="24"/>
      <c r="N444" s="6"/>
      <c r="O444" s="6"/>
    </row>
    <row r="445">
      <c r="C445" s="24"/>
      <c r="F445" s="24"/>
      <c r="H445" s="24"/>
      <c r="I445" s="24"/>
      <c r="J445" s="24"/>
      <c r="N445" s="6"/>
      <c r="O445" s="6"/>
    </row>
    <row r="446">
      <c r="C446" s="24"/>
      <c r="F446" s="24"/>
      <c r="H446" s="24"/>
      <c r="I446" s="24"/>
      <c r="J446" s="24"/>
      <c r="N446" s="6"/>
      <c r="O446" s="6"/>
    </row>
    <row r="447">
      <c r="C447" s="24"/>
      <c r="F447" s="24"/>
      <c r="H447" s="24"/>
      <c r="I447" s="24"/>
      <c r="J447" s="24"/>
      <c r="N447" s="6"/>
      <c r="O447" s="6"/>
    </row>
    <row r="448">
      <c r="C448" s="24"/>
      <c r="F448" s="24"/>
      <c r="H448" s="24"/>
      <c r="I448" s="24"/>
      <c r="J448" s="24"/>
      <c r="N448" s="6"/>
      <c r="O448" s="6"/>
    </row>
    <row r="449">
      <c r="C449" s="24"/>
      <c r="F449" s="24"/>
      <c r="H449" s="24"/>
      <c r="I449" s="24"/>
      <c r="J449" s="24"/>
      <c r="N449" s="6"/>
      <c r="O449" s="6"/>
    </row>
    <row r="450">
      <c r="C450" s="24"/>
      <c r="F450" s="24"/>
      <c r="H450" s="24"/>
      <c r="I450" s="24"/>
      <c r="J450" s="24"/>
      <c r="N450" s="6"/>
      <c r="O450" s="6"/>
    </row>
    <row r="451">
      <c r="C451" s="24"/>
      <c r="F451" s="24"/>
      <c r="H451" s="24"/>
      <c r="I451" s="24"/>
      <c r="J451" s="24"/>
      <c r="N451" s="6"/>
      <c r="O451" s="6"/>
    </row>
    <row r="452">
      <c r="C452" s="24"/>
      <c r="F452" s="24"/>
      <c r="H452" s="24"/>
      <c r="I452" s="24"/>
      <c r="J452" s="24"/>
      <c r="N452" s="6"/>
      <c r="O452" s="6"/>
    </row>
    <row r="453">
      <c r="C453" s="24"/>
      <c r="F453" s="24"/>
      <c r="H453" s="24"/>
      <c r="I453" s="24"/>
      <c r="J453" s="24"/>
      <c r="N453" s="6"/>
      <c r="O453" s="6"/>
    </row>
    <row r="454">
      <c r="C454" s="24"/>
      <c r="F454" s="24"/>
      <c r="H454" s="24"/>
      <c r="I454" s="24"/>
      <c r="J454" s="24"/>
      <c r="N454" s="6"/>
      <c r="O454" s="6"/>
    </row>
    <row r="455">
      <c r="C455" s="24"/>
      <c r="F455" s="24"/>
      <c r="H455" s="24"/>
      <c r="I455" s="24"/>
      <c r="J455" s="24"/>
      <c r="N455" s="6"/>
      <c r="O455" s="6"/>
    </row>
    <row r="456">
      <c r="C456" s="24"/>
      <c r="F456" s="24"/>
      <c r="H456" s="24"/>
      <c r="I456" s="24"/>
      <c r="J456" s="24"/>
      <c r="N456" s="6"/>
      <c r="O456" s="6"/>
    </row>
    <row r="457">
      <c r="C457" s="24"/>
      <c r="F457" s="24"/>
      <c r="H457" s="24"/>
      <c r="I457" s="24"/>
      <c r="J457" s="24"/>
      <c r="N457" s="6"/>
      <c r="O457" s="6"/>
    </row>
    <row r="458">
      <c r="C458" s="24"/>
      <c r="F458" s="24"/>
      <c r="H458" s="24"/>
      <c r="I458" s="24"/>
      <c r="J458" s="24"/>
      <c r="N458" s="6"/>
      <c r="O458" s="6"/>
    </row>
    <row r="459">
      <c r="C459" s="24"/>
      <c r="F459" s="24"/>
      <c r="H459" s="24"/>
      <c r="I459" s="24"/>
      <c r="J459" s="24"/>
      <c r="N459" s="6"/>
      <c r="O459" s="6"/>
    </row>
    <row r="460">
      <c r="C460" s="24"/>
      <c r="F460" s="24"/>
      <c r="H460" s="24"/>
      <c r="I460" s="24"/>
      <c r="J460" s="24"/>
      <c r="N460" s="6"/>
      <c r="O460" s="6"/>
    </row>
    <row r="461">
      <c r="C461" s="24"/>
      <c r="F461" s="24"/>
      <c r="H461" s="24"/>
      <c r="I461" s="24"/>
      <c r="J461" s="24"/>
      <c r="N461" s="6"/>
      <c r="O461" s="6"/>
    </row>
    <row r="462">
      <c r="C462" s="24"/>
      <c r="F462" s="24"/>
      <c r="H462" s="24"/>
      <c r="I462" s="24"/>
      <c r="J462" s="24"/>
      <c r="N462" s="6"/>
      <c r="O462" s="6"/>
    </row>
    <row r="463">
      <c r="C463" s="24"/>
      <c r="F463" s="24"/>
      <c r="H463" s="24"/>
      <c r="I463" s="24"/>
      <c r="J463" s="24"/>
      <c r="N463" s="6"/>
      <c r="O463" s="6"/>
    </row>
    <row r="464">
      <c r="C464" s="24"/>
      <c r="F464" s="24"/>
      <c r="H464" s="24"/>
      <c r="I464" s="24"/>
      <c r="J464" s="24"/>
      <c r="N464" s="6"/>
      <c r="O464" s="6"/>
    </row>
    <row r="465">
      <c r="C465" s="24"/>
      <c r="F465" s="24"/>
      <c r="H465" s="24"/>
      <c r="I465" s="24"/>
      <c r="J465" s="24"/>
      <c r="N465" s="6"/>
      <c r="O465" s="6"/>
    </row>
    <row r="466">
      <c r="C466" s="24"/>
      <c r="F466" s="24"/>
      <c r="H466" s="24"/>
      <c r="I466" s="24"/>
      <c r="J466" s="24"/>
      <c r="N466" s="6"/>
      <c r="O466" s="6"/>
    </row>
    <row r="467">
      <c r="C467" s="24"/>
      <c r="F467" s="24"/>
      <c r="H467" s="24"/>
      <c r="I467" s="24"/>
      <c r="J467" s="24"/>
      <c r="N467" s="6"/>
      <c r="O467" s="6"/>
    </row>
    <row r="468">
      <c r="C468" s="24"/>
      <c r="F468" s="24"/>
      <c r="H468" s="24"/>
      <c r="I468" s="24"/>
      <c r="J468" s="24"/>
      <c r="N468" s="6"/>
      <c r="O468" s="6"/>
    </row>
    <row r="469">
      <c r="C469" s="24"/>
      <c r="F469" s="24"/>
      <c r="H469" s="24"/>
      <c r="I469" s="24"/>
      <c r="J469" s="24"/>
      <c r="N469" s="6"/>
      <c r="O469" s="6"/>
    </row>
    <row r="470">
      <c r="C470" s="24"/>
      <c r="F470" s="24"/>
      <c r="H470" s="24"/>
      <c r="I470" s="24"/>
      <c r="J470" s="24"/>
      <c r="N470" s="6"/>
      <c r="O470" s="6"/>
    </row>
    <row r="471">
      <c r="C471" s="24"/>
      <c r="F471" s="24"/>
      <c r="H471" s="24"/>
      <c r="I471" s="24"/>
      <c r="J471" s="24"/>
      <c r="N471" s="6"/>
      <c r="O471" s="6"/>
    </row>
    <row r="472">
      <c r="C472" s="24"/>
      <c r="F472" s="24"/>
      <c r="H472" s="24"/>
      <c r="I472" s="24"/>
      <c r="J472" s="24"/>
      <c r="N472" s="6"/>
      <c r="O472" s="6"/>
    </row>
    <row r="473">
      <c r="C473" s="24"/>
      <c r="F473" s="24"/>
      <c r="H473" s="24"/>
      <c r="I473" s="24"/>
      <c r="J473" s="24"/>
      <c r="N473" s="6"/>
      <c r="O473" s="6"/>
    </row>
    <row r="474">
      <c r="C474" s="24"/>
      <c r="F474" s="24"/>
      <c r="H474" s="24"/>
      <c r="I474" s="24"/>
      <c r="J474" s="24"/>
      <c r="N474" s="6"/>
      <c r="O474" s="6"/>
    </row>
    <row r="475">
      <c r="C475" s="24"/>
      <c r="F475" s="24"/>
      <c r="H475" s="24"/>
      <c r="I475" s="24"/>
      <c r="J475" s="24"/>
      <c r="N475" s="6"/>
      <c r="O475" s="6"/>
    </row>
    <row r="476">
      <c r="C476" s="24"/>
      <c r="F476" s="24"/>
      <c r="H476" s="24"/>
      <c r="I476" s="24"/>
      <c r="J476" s="24"/>
      <c r="N476" s="6"/>
      <c r="O476" s="6"/>
    </row>
    <row r="477">
      <c r="C477" s="24"/>
      <c r="F477" s="24"/>
      <c r="H477" s="24"/>
      <c r="I477" s="24"/>
      <c r="J477" s="24"/>
      <c r="N477" s="6"/>
      <c r="O477" s="6"/>
    </row>
    <row r="478">
      <c r="C478" s="24"/>
      <c r="F478" s="24"/>
      <c r="H478" s="24"/>
      <c r="I478" s="24"/>
      <c r="J478" s="24"/>
      <c r="N478" s="6"/>
      <c r="O478" s="6"/>
    </row>
    <row r="479">
      <c r="C479" s="24"/>
      <c r="F479" s="24"/>
      <c r="H479" s="24"/>
      <c r="I479" s="24"/>
      <c r="J479" s="24"/>
      <c r="N479" s="6"/>
      <c r="O479" s="6"/>
    </row>
    <row r="480">
      <c r="C480" s="24"/>
      <c r="F480" s="24"/>
      <c r="H480" s="24"/>
      <c r="I480" s="24"/>
      <c r="J480" s="24"/>
      <c r="N480" s="6"/>
      <c r="O480" s="6"/>
    </row>
    <row r="481">
      <c r="C481" s="24"/>
      <c r="F481" s="24"/>
      <c r="H481" s="24"/>
      <c r="I481" s="24"/>
      <c r="J481" s="24"/>
      <c r="N481" s="6"/>
      <c r="O481" s="6"/>
    </row>
    <row r="482">
      <c r="C482" s="24"/>
      <c r="F482" s="24"/>
      <c r="H482" s="24"/>
      <c r="I482" s="24"/>
      <c r="J482" s="24"/>
      <c r="N482" s="6"/>
      <c r="O482" s="6"/>
    </row>
    <row r="483">
      <c r="C483" s="24"/>
      <c r="F483" s="24"/>
      <c r="H483" s="24"/>
      <c r="I483" s="24"/>
      <c r="J483" s="24"/>
      <c r="N483" s="6"/>
      <c r="O483" s="6"/>
    </row>
    <row r="484">
      <c r="C484" s="24"/>
      <c r="F484" s="24"/>
      <c r="H484" s="24"/>
      <c r="I484" s="24"/>
      <c r="J484" s="24"/>
      <c r="N484" s="6"/>
      <c r="O484" s="6"/>
    </row>
    <row r="485">
      <c r="C485" s="24"/>
      <c r="F485" s="24"/>
      <c r="H485" s="24"/>
      <c r="I485" s="24"/>
      <c r="J485" s="24"/>
      <c r="N485" s="6"/>
      <c r="O485" s="6"/>
    </row>
    <row r="486">
      <c r="C486" s="24"/>
      <c r="F486" s="24"/>
      <c r="H486" s="24"/>
      <c r="I486" s="24"/>
      <c r="J486" s="24"/>
      <c r="N486" s="6"/>
      <c r="O486" s="6"/>
    </row>
    <row r="487">
      <c r="C487" s="24"/>
      <c r="F487" s="24"/>
      <c r="H487" s="24"/>
      <c r="I487" s="24"/>
      <c r="J487" s="24"/>
      <c r="N487" s="6"/>
      <c r="O487" s="6"/>
    </row>
    <row r="488">
      <c r="C488" s="24"/>
      <c r="F488" s="24"/>
      <c r="H488" s="24"/>
      <c r="I488" s="24"/>
      <c r="J488" s="24"/>
      <c r="N488" s="6"/>
      <c r="O488" s="6"/>
    </row>
    <row r="489">
      <c r="C489" s="24"/>
      <c r="F489" s="24"/>
      <c r="H489" s="24"/>
      <c r="I489" s="24"/>
      <c r="J489" s="24"/>
      <c r="N489" s="6"/>
      <c r="O489" s="6"/>
    </row>
    <row r="490">
      <c r="C490" s="24"/>
      <c r="F490" s="24"/>
      <c r="H490" s="24"/>
      <c r="I490" s="24"/>
      <c r="J490" s="24"/>
      <c r="N490" s="6"/>
      <c r="O490" s="6"/>
    </row>
    <row r="491">
      <c r="C491" s="24"/>
      <c r="F491" s="24"/>
      <c r="H491" s="24"/>
      <c r="I491" s="24"/>
      <c r="J491" s="24"/>
      <c r="N491" s="6"/>
      <c r="O491" s="6"/>
    </row>
    <row r="492">
      <c r="C492" s="24"/>
      <c r="F492" s="24"/>
      <c r="H492" s="24"/>
      <c r="I492" s="24"/>
      <c r="J492" s="24"/>
      <c r="N492" s="6"/>
      <c r="O492" s="6"/>
    </row>
    <row r="493">
      <c r="C493" s="24"/>
      <c r="F493" s="24"/>
      <c r="H493" s="24"/>
      <c r="I493" s="24"/>
      <c r="J493" s="24"/>
      <c r="N493" s="6"/>
      <c r="O493" s="6"/>
    </row>
    <row r="494">
      <c r="C494" s="24"/>
      <c r="F494" s="24"/>
      <c r="H494" s="24"/>
      <c r="I494" s="24"/>
      <c r="J494" s="24"/>
      <c r="N494" s="6"/>
      <c r="O494" s="6"/>
    </row>
    <row r="495">
      <c r="C495" s="24"/>
      <c r="F495" s="24"/>
      <c r="H495" s="24"/>
      <c r="I495" s="24"/>
      <c r="J495" s="24"/>
      <c r="N495" s="6"/>
      <c r="O495" s="6"/>
    </row>
    <row r="496">
      <c r="C496" s="24"/>
      <c r="F496" s="24"/>
      <c r="H496" s="24"/>
      <c r="I496" s="24"/>
      <c r="J496" s="24"/>
      <c r="N496" s="6"/>
      <c r="O496" s="6"/>
    </row>
    <row r="497">
      <c r="C497" s="24"/>
      <c r="F497" s="24"/>
      <c r="H497" s="24"/>
      <c r="I497" s="24"/>
      <c r="J497" s="24"/>
      <c r="N497" s="6"/>
      <c r="O497" s="6"/>
    </row>
    <row r="498">
      <c r="C498" s="24"/>
      <c r="F498" s="24"/>
      <c r="H498" s="24"/>
      <c r="I498" s="24"/>
      <c r="J498" s="24"/>
      <c r="N498" s="6"/>
      <c r="O498" s="6"/>
    </row>
    <row r="499">
      <c r="C499" s="24"/>
      <c r="F499" s="24"/>
      <c r="H499" s="24"/>
      <c r="I499" s="24"/>
      <c r="J499" s="24"/>
      <c r="N499" s="6"/>
      <c r="O499" s="6"/>
    </row>
    <row r="500">
      <c r="C500" s="24"/>
      <c r="F500" s="24"/>
      <c r="H500" s="24"/>
      <c r="I500" s="24"/>
      <c r="J500" s="24"/>
      <c r="N500" s="6"/>
      <c r="O500" s="6"/>
    </row>
    <row r="501">
      <c r="C501" s="24"/>
      <c r="F501" s="24"/>
      <c r="H501" s="24"/>
      <c r="I501" s="24"/>
      <c r="J501" s="24"/>
      <c r="N501" s="6"/>
      <c r="O501" s="6"/>
    </row>
    <row r="502">
      <c r="C502" s="24"/>
      <c r="F502" s="24"/>
      <c r="H502" s="24"/>
      <c r="I502" s="24"/>
      <c r="J502" s="24"/>
      <c r="N502" s="6"/>
      <c r="O502" s="6"/>
    </row>
    <row r="503">
      <c r="C503" s="24"/>
      <c r="F503" s="24"/>
      <c r="H503" s="24"/>
      <c r="I503" s="24"/>
      <c r="J503" s="24"/>
      <c r="N503" s="6"/>
      <c r="O503" s="6"/>
    </row>
    <row r="504">
      <c r="C504" s="24"/>
      <c r="F504" s="24"/>
      <c r="H504" s="24"/>
      <c r="I504" s="24"/>
      <c r="J504" s="24"/>
      <c r="N504" s="6"/>
      <c r="O504" s="6"/>
    </row>
    <row r="505">
      <c r="C505" s="24"/>
      <c r="F505" s="24"/>
      <c r="H505" s="24"/>
      <c r="I505" s="24"/>
      <c r="J505" s="24"/>
      <c r="N505" s="6"/>
      <c r="O505" s="6"/>
    </row>
    <row r="506">
      <c r="C506" s="24"/>
      <c r="F506" s="24"/>
      <c r="H506" s="24"/>
      <c r="I506" s="24"/>
      <c r="J506" s="24"/>
      <c r="N506" s="6"/>
      <c r="O506" s="6"/>
    </row>
    <row r="507">
      <c r="C507" s="24"/>
      <c r="F507" s="24"/>
      <c r="H507" s="24"/>
      <c r="I507" s="24"/>
      <c r="J507" s="24"/>
      <c r="N507" s="6"/>
      <c r="O507" s="6"/>
    </row>
    <row r="508">
      <c r="C508" s="24"/>
      <c r="F508" s="24"/>
      <c r="H508" s="24"/>
      <c r="I508" s="24"/>
      <c r="J508" s="24"/>
      <c r="N508" s="6"/>
      <c r="O508" s="6"/>
    </row>
    <row r="509">
      <c r="C509" s="24"/>
      <c r="F509" s="24"/>
      <c r="H509" s="24"/>
      <c r="I509" s="24"/>
      <c r="J509" s="24"/>
      <c r="N509" s="6"/>
      <c r="O509" s="6"/>
    </row>
    <row r="510">
      <c r="C510" s="24"/>
      <c r="F510" s="24"/>
      <c r="H510" s="24"/>
      <c r="I510" s="24"/>
      <c r="J510" s="24"/>
      <c r="N510" s="6"/>
      <c r="O510" s="6"/>
    </row>
    <row r="511">
      <c r="C511" s="24"/>
      <c r="F511" s="24"/>
      <c r="H511" s="24"/>
      <c r="I511" s="24"/>
      <c r="J511" s="24"/>
      <c r="N511" s="6"/>
      <c r="O511" s="6"/>
    </row>
    <row r="512">
      <c r="C512" s="24"/>
      <c r="F512" s="24"/>
      <c r="H512" s="24"/>
      <c r="I512" s="24"/>
      <c r="J512" s="24"/>
      <c r="N512" s="6"/>
      <c r="O512" s="6"/>
    </row>
    <row r="513">
      <c r="C513" s="24"/>
      <c r="F513" s="24"/>
      <c r="H513" s="24"/>
      <c r="I513" s="24"/>
      <c r="J513" s="24"/>
      <c r="N513" s="6"/>
      <c r="O513" s="6"/>
    </row>
    <row r="514">
      <c r="C514" s="24"/>
      <c r="F514" s="24"/>
      <c r="H514" s="24"/>
      <c r="I514" s="24"/>
      <c r="J514" s="24"/>
      <c r="N514" s="6"/>
      <c r="O514" s="6"/>
    </row>
    <row r="515">
      <c r="C515" s="24"/>
      <c r="F515" s="24"/>
      <c r="H515" s="24"/>
      <c r="I515" s="24"/>
      <c r="J515" s="24"/>
      <c r="N515" s="6"/>
      <c r="O515" s="6"/>
    </row>
    <row r="516">
      <c r="C516" s="24"/>
      <c r="F516" s="24"/>
      <c r="H516" s="24"/>
      <c r="I516" s="24"/>
      <c r="J516" s="24"/>
      <c r="N516" s="6"/>
      <c r="O516" s="6"/>
    </row>
    <row r="517">
      <c r="C517" s="24"/>
      <c r="F517" s="24"/>
      <c r="H517" s="24"/>
      <c r="I517" s="24"/>
      <c r="J517" s="24"/>
      <c r="N517" s="6"/>
      <c r="O517" s="6"/>
    </row>
    <row r="518">
      <c r="C518" s="24"/>
      <c r="F518" s="24"/>
      <c r="H518" s="24"/>
      <c r="I518" s="24"/>
      <c r="J518" s="24"/>
      <c r="N518" s="6"/>
      <c r="O518" s="6"/>
    </row>
    <row r="519">
      <c r="C519" s="24"/>
      <c r="F519" s="24"/>
      <c r="H519" s="24"/>
      <c r="I519" s="24"/>
      <c r="J519" s="24"/>
      <c r="N519" s="6"/>
      <c r="O519" s="6"/>
    </row>
    <row r="520">
      <c r="C520" s="24"/>
      <c r="F520" s="24"/>
      <c r="H520" s="24"/>
      <c r="I520" s="24"/>
      <c r="J520" s="24"/>
      <c r="N520" s="6"/>
      <c r="O520" s="6"/>
    </row>
    <row r="521">
      <c r="C521" s="24"/>
      <c r="F521" s="24"/>
      <c r="H521" s="24"/>
      <c r="I521" s="24"/>
      <c r="J521" s="24"/>
      <c r="N521" s="6"/>
      <c r="O521" s="6"/>
    </row>
    <row r="522">
      <c r="C522" s="24"/>
      <c r="F522" s="24"/>
      <c r="H522" s="24"/>
      <c r="I522" s="24"/>
      <c r="J522" s="24"/>
      <c r="N522" s="6"/>
      <c r="O522" s="6"/>
    </row>
    <row r="523">
      <c r="C523" s="24"/>
      <c r="F523" s="24"/>
      <c r="H523" s="24"/>
      <c r="I523" s="24"/>
      <c r="J523" s="24"/>
      <c r="N523" s="6"/>
      <c r="O523" s="6"/>
    </row>
    <row r="524">
      <c r="C524" s="24"/>
      <c r="F524" s="24"/>
      <c r="H524" s="24"/>
      <c r="I524" s="24"/>
      <c r="J524" s="24"/>
      <c r="N524" s="6"/>
      <c r="O524" s="6"/>
    </row>
    <row r="525">
      <c r="C525" s="24"/>
      <c r="F525" s="24"/>
      <c r="H525" s="24"/>
      <c r="I525" s="24"/>
      <c r="J525" s="24"/>
      <c r="N525" s="6"/>
      <c r="O525" s="6"/>
    </row>
    <row r="526">
      <c r="C526" s="24"/>
      <c r="F526" s="24"/>
      <c r="H526" s="24"/>
      <c r="I526" s="24"/>
      <c r="J526" s="24"/>
      <c r="N526" s="6"/>
      <c r="O526" s="6"/>
    </row>
    <row r="527">
      <c r="C527" s="24"/>
      <c r="F527" s="24"/>
      <c r="H527" s="24"/>
      <c r="I527" s="24"/>
      <c r="J527" s="24"/>
      <c r="N527" s="6"/>
      <c r="O527" s="6"/>
    </row>
    <row r="528">
      <c r="C528" s="24"/>
      <c r="F528" s="24"/>
      <c r="H528" s="24"/>
      <c r="I528" s="24"/>
      <c r="J528" s="24"/>
      <c r="N528" s="6"/>
      <c r="O528" s="6"/>
    </row>
    <row r="529">
      <c r="C529" s="24"/>
      <c r="F529" s="24"/>
      <c r="H529" s="24"/>
      <c r="I529" s="24"/>
      <c r="J529" s="24"/>
      <c r="N529" s="6"/>
      <c r="O529" s="6"/>
    </row>
    <row r="530">
      <c r="C530" s="24"/>
      <c r="F530" s="24"/>
      <c r="H530" s="24"/>
      <c r="I530" s="24"/>
      <c r="J530" s="24"/>
      <c r="N530" s="6"/>
      <c r="O530" s="6"/>
    </row>
    <row r="531">
      <c r="C531" s="24"/>
      <c r="F531" s="24"/>
      <c r="H531" s="24"/>
      <c r="I531" s="24"/>
      <c r="J531" s="24"/>
      <c r="N531" s="6"/>
      <c r="O531" s="6"/>
    </row>
    <row r="532">
      <c r="C532" s="24"/>
      <c r="F532" s="24"/>
      <c r="H532" s="24"/>
      <c r="I532" s="24"/>
      <c r="J532" s="24"/>
      <c r="N532" s="6"/>
      <c r="O532" s="6"/>
    </row>
    <row r="533">
      <c r="C533" s="24"/>
      <c r="F533" s="24"/>
      <c r="H533" s="24"/>
      <c r="I533" s="24"/>
      <c r="J533" s="24"/>
      <c r="N533" s="6"/>
      <c r="O533" s="6"/>
    </row>
    <row r="534">
      <c r="C534" s="24"/>
      <c r="F534" s="24"/>
      <c r="H534" s="24"/>
      <c r="I534" s="24"/>
      <c r="J534" s="24"/>
      <c r="N534" s="6"/>
      <c r="O534" s="6"/>
    </row>
    <row r="535">
      <c r="C535" s="24"/>
      <c r="F535" s="24"/>
      <c r="H535" s="24"/>
      <c r="I535" s="24"/>
      <c r="J535" s="24"/>
      <c r="N535" s="6"/>
      <c r="O535" s="6"/>
    </row>
    <row r="536">
      <c r="C536" s="24"/>
      <c r="F536" s="24"/>
      <c r="H536" s="24"/>
      <c r="I536" s="24"/>
      <c r="J536" s="24"/>
      <c r="N536" s="6"/>
      <c r="O536" s="6"/>
    </row>
    <row r="537">
      <c r="C537" s="24"/>
      <c r="F537" s="24"/>
      <c r="H537" s="24"/>
      <c r="I537" s="24"/>
      <c r="J537" s="24"/>
      <c r="N537" s="6"/>
      <c r="O537" s="6"/>
    </row>
    <row r="538">
      <c r="C538" s="24"/>
      <c r="F538" s="24"/>
      <c r="H538" s="24"/>
      <c r="I538" s="24"/>
      <c r="J538" s="24"/>
      <c r="N538" s="6"/>
      <c r="O538" s="6"/>
    </row>
    <row r="539">
      <c r="C539" s="24"/>
      <c r="F539" s="24"/>
      <c r="H539" s="24"/>
      <c r="I539" s="24"/>
      <c r="J539" s="24"/>
      <c r="N539" s="6"/>
      <c r="O539" s="6"/>
    </row>
    <row r="540">
      <c r="C540" s="24"/>
      <c r="F540" s="24"/>
      <c r="H540" s="24"/>
      <c r="I540" s="24"/>
      <c r="J540" s="24"/>
      <c r="N540" s="6"/>
      <c r="O540" s="6"/>
    </row>
    <row r="541">
      <c r="C541" s="24"/>
      <c r="F541" s="24"/>
      <c r="H541" s="24"/>
      <c r="I541" s="24"/>
      <c r="J541" s="24"/>
      <c r="N541" s="6"/>
      <c r="O541" s="6"/>
    </row>
    <row r="542">
      <c r="C542" s="24"/>
      <c r="F542" s="24"/>
      <c r="H542" s="24"/>
      <c r="I542" s="24"/>
      <c r="J542" s="24"/>
      <c r="N542" s="6"/>
      <c r="O542" s="6"/>
    </row>
    <row r="543">
      <c r="C543" s="24"/>
      <c r="F543" s="24"/>
      <c r="H543" s="24"/>
      <c r="I543" s="24"/>
      <c r="J543" s="24"/>
      <c r="N543" s="6"/>
      <c r="O543" s="6"/>
    </row>
    <row r="544">
      <c r="C544" s="24"/>
      <c r="F544" s="24"/>
      <c r="H544" s="24"/>
      <c r="I544" s="24"/>
      <c r="J544" s="24"/>
      <c r="N544" s="6"/>
      <c r="O544" s="6"/>
    </row>
    <row r="545">
      <c r="C545" s="24"/>
      <c r="F545" s="24"/>
      <c r="H545" s="24"/>
      <c r="I545" s="24"/>
      <c r="J545" s="24"/>
      <c r="N545" s="6"/>
      <c r="O545" s="6"/>
    </row>
    <row r="546">
      <c r="C546" s="24"/>
      <c r="F546" s="24"/>
      <c r="H546" s="24"/>
      <c r="I546" s="24"/>
      <c r="J546" s="24"/>
      <c r="N546" s="6"/>
      <c r="O546" s="6"/>
    </row>
    <row r="547">
      <c r="C547" s="24"/>
      <c r="F547" s="24"/>
      <c r="H547" s="24"/>
      <c r="I547" s="24"/>
      <c r="J547" s="24"/>
      <c r="N547" s="6"/>
      <c r="O547" s="6"/>
    </row>
    <row r="548">
      <c r="C548" s="24"/>
      <c r="F548" s="24"/>
      <c r="H548" s="24"/>
      <c r="I548" s="24"/>
      <c r="J548" s="24"/>
      <c r="N548" s="6"/>
      <c r="O548" s="6"/>
    </row>
    <row r="549">
      <c r="C549" s="24"/>
      <c r="F549" s="24"/>
      <c r="H549" s="24"/>
      <c r="I549" s="24"/>
      <c r="J549" s="24"/>
      <c r="N549" s="6"/>
      <c r="O549" s="6"/>
    </row>
    <row r="550">
      <c r="C550" s="24"/>
      <c r="F550" s="24"/>
      <c r="H550" s="24"/>
      <c r="I550" s="24"/>
      <c r="J550" s="24"/>
      <c r="N550" s="6"/>
      <c r="O550" s="6"/>
    </row>
    <row r="551">
      <c r="C551" s="24"/>
      <c r="F551" s="24"/>
      <c r="H551" s="24"/>
      <c r="I551" s="24"/>
      <c r="J551" s="24"/>
      <c r="N551" s="6"/>
      <c r="O551" s="6"/>
    </row>
    <row r="552">
      <c r="C552" s="24"/>
      <c r="F552" s="24"/>
      <c r="H552" s="24"/>
      <c r="I552" s="24"/>
      <c r="J552" s="24"/>
      <c r="N552" s="6"/>
      <c r="O552" s="6"/>
    </row>
    <row r="553">
      <c r="C553" s="24"/>
      <c r="F553" s="24"/>
      <c r="H553" s="24"/>
      <c r="I553" s="24"/>
      <c r="J553" s="24"/>
      <c r="N553" s="6"/>
      <c r="O553" s="6"/>
    </row>
    <row r="554">
      <c r="C554" s="24"/>
      <c r="F554" s="24"/>
      <c r="H554" s="24"/>
      <c r="I554" s="24"/>
      <c r="J554" s="24"/>
      <c r="N554" s="6"/>
      <c r="O554" s="6"/>
    </row>
    <row r="555">
      <c r="C555" s="24"/>
      <c r="F555" s="24"/>
      <c r="H555" s="24"/>
      <c r="I555" s="24"/>
      <c r="J555" s="24"/>
      <c r="N555" s="6"/>
      <c r="O555" s="6"/>
    </row>
    <row r="556">
      <c r="C556" s="24"/>
      <c r="F556" s="24"/>
      <c r="H556" s="24"/>
      <c r="I556" s="24"/>
      <c r="J556" s="24"/>
      <c r="N556" s="6"/>
      <c r="O556" s="6"/>
    </row>
    <row r="557">
      <c r="C557" s="24"/>
      <c r="F557" s="24"/>
      <c r="H557" s="24"/>
      <c r="I557" s="24"/>
      <c r="J557" s="24"/>
      <c r="N557" s="6"/>
      <c r="O557" s="6"/>
    </row>
    <row r="558">
      <c r="C558" s="24"/>
      <c r="F558" s="24"/>
      <c r="H558" s="24"/>
      <c r="I558" s="24"/>
      <c r="J558" s="24"/>
      <c r="N558" s="6"/>
      <c r="O558" s="6"/>
    </row>
    <row r="559">
      <c r="C559" s="24"/>
      <c r="F559" s="24"/>
      <c r="H559" s="24"/>
      <c r="I559" s="24"/>
      <c r="J559" s="24"/>
      <c r="N559" s="6"/>
      <c r="O559" s="6"/>
    </row>
    <row r="560">
      <c r="C560" s="24"/>
      <c r="F560" s="24"/>
      <c r="H560" s="24"/>
      <c r="I560" s="24"/>
      <c r="J560" s="24"/>
      <c r="N560" s="6"/>
      <c r="O560" s="6"/>
    </row>
    <row r="561">
      <c r="C561" s="24"/>
      <c r="F561" s="24"/>
      <c r="H561" s="24"/>
      <c r="I561" s="24"/>
      <c r="J561" s="24"/>
      <c r="N561" s="6"/>
      <c r="O561" s="6"/>
    </row>
    <row r="562">
      <c r="C562" s="24"/>
      <c r="F562" s="24"/>
      <c r="H562" s="24"/>
      <c r="I562" s="24"/>
      <c r="J562" s="24"/>
      <c r="N562" s="6"/>
      <c r="O562" s="6"/>
    </row>
    <row r="563">
      <c r="C563" s="24"/>
      <c r="F563" s="24"/>
      <c r="H563" s="24"/>
      <c r="I563" s="24"/>
      <c r="J563" s="24"/>
      <c r="N563" s="6"/>
      <c r="O563" s="6"/>
    </row>
    <row r="564">
      <c r="C564" s="24"/>
      <c r="F564" s="24"/>
      <c r="H564" s="24"/>
      <c r="I564" s="24"/>
      <c r="J564" s="24"/>
      <c r="N564" s="6"/>
      <c r="O564" s="6"/>
    </row>
    <row r="565">
      <c r="C565" s="24"/>
      <c r="F565" s="24"/>
      <c r="H565" s="24"/>
      <c r="I565" s="24"/>
      <c r="J565" s="24"/>
      <c r="N565" s="6"/>
      <c r="O565" s="6"/>
    </row>
    <row r="566">
      <c r="C566" s="24"/>
      <c r="F566" s="24"/>
      <c r="H566" s="24"/>
      <c r="I566" s="24"/>
      <c r="J566" s="24"/>
      <c r="N566" s="6"/>
      <c r="O566" s="6"/>
    </row>
    <row r="567">
      <c r="C567" s="24"/>
      <c r="F567" s="24"/>
      <c r="H567" s="24"/>
      <c r="I567" s="24"/>
      <c r="J567" s="24"/>
      <c r="N567" s="6"/>
      <c r="O567" s="6"/>
    </row>
    <row r="568">
      <c r="C568" s="24"/>
      <c r="F568" s="24"/>
      <c r="H568" s="24"/>
      <c r="I568" s="24"/>
      <c r="J568" s="24"/>
      <c r="N568" s="6"/>
      <c r="O568" s="6"/>
    </row>
    <row r="569">
      <c r="C569" s="24"/>
      <c r="F569" s="24"/>
      <c r="H569" s="24"/>
      <c r="I569" s="24"/>
      <c r="J569" s="24"/>
      <c r="N569" s="6"/>
      <c r="O569" s="6"/>
    </row>
    <row r="570">
      <c r="C570" s="24"/>
      <c r="F570" s="24"/>
      <c r="H570" s="24"/>
      <c r="I570" s="24"/>
      <c r="J570" s="24"/>
      <c r="N570" s="6"/>
      <c r="O570" s="6"/>
    </row>
    <row r="571">
      <c r="C571" s="24"/>
      <c r="F571" s="24"/>
      <c r="H571" s="24"/>
      <c r="I571" s="24"/>
      <c r="J571" s="24"/>
      <c r="N571" s="6"/>
      <c r="O571" s="6"/>
    </row>
    <row r="572">
      <c r="C572" s="24"/>
      <c r="F572" s="24"/>
      <c r="H572" s="24"/>
      <c r="I572" s="24"/>
      <c r="J572" s="24"/>
      <c r="N572" s="6"/>
      <c r="O572" s="6"/>
    </row>
    <row r="573">
      <c r="C573" s="24"/>
      <c r="F573" s="24"/>
      <c r="H573" s="24"/>
      <c r="I573" s="24"/>
      <c r="J573" s="24"/>
      <c r="N573" s="6"/>
      <c r="O573" s="6"/>
    </row>
    <row r="574">
      <c r="C574" s="24"/>
      <c r="F574" s="24"/>
      <c r="H574" s="24"/>
      <c r="I574" s="24"/>
      <c r="J574" s="24"/>
      <c r="N574" s="6"/>
      <c r="O574" s="6"/>
    </row>
    <row r="575">
      <c r="C575" s="24"/>
      <c r="F575" s="24"/>
      <c r="H575" s="24"/>
      <c r="I575" s="24"/>
      <c r="J575" s="24"/>
      <c r="N575" s="6"/>
      <c r="O575" s="6"/>
    </row>
    <row r="576">
      <c r="C576" s="24"/>
      <c r="F576" s="24"/>
      <c r="H576" s="24"/>
      <c r="I576" s="24"/>
      <c r="J576" s="24"/>
      <c r="N576" s="6"/>
      <c r="O576" s="6"/>
    </row>
    <row r="577">
      <c r="C577" s="24"/>
      <c r="F577" s="24"/>
      <c r="H577" s="24"/>
      <c r="I577" s="24"/>
      <c r="J577" s="24"/>
      <c r="N577" s="6"/>
      <c r="O577" s="6"/>
    </row>
    <row r="578">
      <c r="C578" s="24"/>
      <c r="F578" s="24"/>
      <c r="H578" s="24"/>
      <c r="I578" s="24"/>
      <c r="J578" s="24"/>
      <c r="N578" s="6"/>
      <c r="O578" s="6"/>
    </row>
    <row r="579">
      <c r="C579" s="24"/>
      <c r="F579" s="24"/>
      <c r="H579" s="24"/>
      <c r="I579" s="24"/>
      <c r="J579" s="24"/>
      <c r="N579" s="6"/>
      <c r="O579" s="6"/>
    </row>
    <row r="580">
      <c r="C580" s="24"/>
      <c r="F580" s="24"/>
      <c r="H580" s="24"/>
      <c r="I580" s="24"/>
      <c r="J580" s="24"/>
      <c r="N580" s="6"/>
      <c r="O580" s="6"/>
    </row>
    <row r="581">
      <c r="C581" s="24"/>
      <c r="F581" s="24"/>
      <c r="H581" s="24"/>
      <c r="I581" s="24"/>
      <c r="J581" s="24"/>
      <c r="N581" s="6"/>
      <c r="O581" s="6"/>
    </row>
    <row r="582">
      <c r="C582" s="24"/>
      <c r="F582" s="24"/>
      <c r="H582" s="24"/>
      <c r="I582" s="24"/>
      <c r="J582" s="24"/>
      <c r="N582" s="6"/>
      <c r="O582" s="6"/>
    </row>
    <row r="583">
      <c r="C583" s="24"/>
      <c r="F583" s="24"/>
      <c r="H583" s="24"/>
      <c r="I583" s="24"/>
      <c r="J583" s="24"/>
      <c r="N583" s="6"/>
      <c r="O583" s="6"/>
    </row>
    <row r="584">
      <c r="C584" s="24"/>
      <c r="F584" s="24"/>
      <c r="H584" s="24"/>
      <c r="I584" s="24"/>
      <c r="J584" s="24"/>
      <c r="N584" s="6"/>
      <c r="O584" s="6"/>
    </row>
    <row r="585">
      <c r="C585" s="24"/>
      <c r="F585" s="24"/>
      <c r="H585" s="24"/>
      <c r="I585" s="24"/>
      <c r="J585" s="24"/>
      <c r="N585" s="6"/>
      <c r="O585" s="6"/>
    </row>
    <row r="586">
      <c r="C586" s="24"/>
      <c r="F586" s="24"/>
      <c r="H586" s="24"/>
      <c r="I586" s="24"/>
      <c r="J586" s="24"/>
      <c r="N586" s="6"/>
      <c r="O586" s="6"/>
    </row>
    <row r="587">
      <c r="C587" s="24"/>
      <c r="F587" s="24"/>
      <c r="H587" s="24"/>
      <c r="I587" s="24"/>
      <c r="J587" s="24"/>
      <c r="N587" s="6"/>
      <c r="O587" s="6"/>
    </row>
    <row r="588">
      <c r="C588" s="24"/>
      <c r="F588" s="24"/>
      <c r="H588" s="24"/>
      <c r="I588" s="24"/>
      <c r="J588" s="24"/>
      <c r="N588" s="6"/>
      <c r="O588" s="6"/>
    </row>
    <row r="589">
      <c r="C589" s="24"/>
      <c r="F589" s="24"/>
      <c r="H589" s="24"/>
      <c r="I589" s="24"/>
      <c r="J589" s="24"/>
      <c r="N589" s="6"/>
      <c r="O589" s="6"/>
    </row>
    <row r="590">
      <c r="C590" s="24"/>
      <c r="F590" s="24"/>
      <c r="H590" s="24"/>
      <c r="I590" s="24"/>
      <c r="J590" s="24"/>
      <c r="N590" s="6"/>
      <c r="O590" s="6"/>
    </row>
    <row r="591">
      <c r="C591" s="24"/>
      <c r="F591" s="24"/>
      <c r="H591" s="24"/>
      <c r="I591" s="24"/>
      <c r="J591" s="24"/>
      <c r="N591" s="6"/>
      <c r="O591" s="6"/>
    </row>
    <row r="592">
      <c r="C592" s="24"/>
      <c r="F592" s="24"/>
      <c r="H592" s="24"/>
      <c r="I592" s="24"/>
      <c r="J592" s="24"/>
      <c r="N592" s="6"/>
      <c r="O592" s="6"/>
    </row>
    <row r="593">
      <c r="C593" s="24"/>
      <c r="F593" s="24"/>
      <c r="H593" s="24"/>
      <c r="I593" s="24"/>
      <c r="J593" s="24"/>
      <c r="N593" s="6"/>
      <c r="O593" s="6"/>
    </row>
    <row r="594">
      <c r="C594" s="24"/>
      <c r="F594" s="24"/>
      <c r="H594" s="24"/>
      <c r="I594" s="24"/>
      <c r="J594" s="24"/>
      <c r="N594" s="6"/>
      <c r="O594" s="6"/>
    </row>
    <row r="595">
      <c r="C595" s="24"/>
      <c r="F595" s="24"/>
      <c r="H595" s="24"/>
      <c r="I595" s="24"/>
      <c r="J595" s="24"/>
      <c r="N595" s="6"/>
      <c r="O595" s="6"/>
    </row>
    <row r="596">
      <c r="C596" s="24"/>
      <c r="F596" s="24"/>
      <c r="H596" s="24"/>
      <c r="I596" s="24"/>
      <c r="J596" s="24"/>
      <c r="N596" s="6"/>
      <c r="O596" s="6"/>
    </row>
    <row r="597">
      <c r="C597" s="24"/>
      <c r="F597" s="24"/>
      <c r="H597" s="24"/>
      <c r="I597" s="24"/>
      <c r="J597" s="24"/>
      <c r="N597" s="6"/>
      <c r="O597" s="6"/>
    </row>
    <row r="598">
      <c r="C598" s="24"/>
      <c r="F598" s="24"/>
      <c r="H598" s="24"/>
      <c r="I598" s="24"/>
      <c r="J598" s="24"/>
      <c r="N598" s="6"/>
      <c r="O598" s="6"/>
    </row>
    <row r="599">
      <c r="C599" s="24"/>
      <c r="F599" s="24"/>
      <c r="H599" s="24"/>
      <c r="I599" s="24"/>
      <c r="J599" s="24"/>
      <c r="N599" s="6"/>
      <c r="O599" s="6"/>
    </row>
    <row r="600">
      <c r="C600" s="24"/>
      <c r="F600" s="24"/>
      <c r="H600" s="24"/>
      <c r="I600" s="24"/>
      <c r="J600" s="24"/>
      <c r="N600" s="6"/>
      <c r="O600" s="6"/>
    </row>
    <row r="601">
      <c r="C601" s="24"/>
      <c r="F601" s="24"/>
      <c r="H601" s="24"/>
      <c r="I601" s="24"/>
      <c r="J601" s="24"/>
      <c r="N601" s="6"/>
      <c r="O601" s="6"/>
    </row>
    <row r="602">
      <c r="C602" s="24"/>
      <c r="F602" s="24"/>
      <c r="H602" s="24"/>
      <c r="I602" s="24"/>
      <c r="J602" s="24"/>
      <c r="N602" s="6"/>
      <c r="O602" s="6"/>
    </row>
    <row r="603">
      <c r="C603" s="24"/>
      <c r="F603" s="24"/>
      <c r="H603" s="24"/>
      <c r="I603" s="24"/>
      <c r="J603" s="24"/>
      <c r="N603" s="6"/>
      <c r="O603" s="6"/>
    </row>
    <row r="604">
      <c r="C604" s="24"/>
      <c r="F604" s="24"/>
      <c r="H604" s="24"/>
      <c r="I604" s="24"/>
      <c r="J604" s="24"/>
      <c r="N604" s="6"/>
      <c r="O604" s="6"/>
    </row>
    <row r="605">
      <c r="C605" s="24"/>
      <c r="F605" s="24"/>
      <c r="H605" s="24"/>
      <c r="I605" s="24"/>
      <c r="J605" s="24"/>
      <c r="N605" s="6"/>
      <c r="O605" s="6"/>
    </row>
    <row r="606">
      <c r="C606" s="24"/>
      <c r="F606" s="24"/>
      <c r="H606" s="24"/>
      <c r="I606" s="24"/>
      <c r="J606" s="24"/>
      <c r="N606" s="6"/>
      <c r="O606" s="6"/>
    </row>
    <row r="607">
      <c r="C607" s="24"/>
      <c r="F607" s="24"/>
      <c r="H607" s="24"/>
      <c r="I607" s="24"/>
      <c r="J607" s="24"/>
      <c r="N607" s="6"/>
      <c r="O607" s="6"/>
    </row>
    <row r="608">
      <c r="C608" s="24"/>
      <c r="F608" s="24"/>
      <c r="H608" s="24"/>
      <c r="I608" s="24"/>
      <c r="J608" s="24"/>
      <c r="N608" s="6"/>
      <c r="O608" s="6"/>
    </row>
    <row r="609">
      <c r="C609" s="24"/>
      <c r="F609" s="24"/>
      <c r="H609" s="24"/>
      <c r="I609" s="24"/>
      <c r="J609" s="24"/>
      <c r="N609" s="6"/>
      <c r="O609" s="6"/>
    </row>
    <row r="610">
      <c r="C610" s="24"/>
      <c r="F610" s="24"/>
      <c r="H610" s="24"/>
      <c r="I610" s="24"/>
      <c r="J610" s="24"/>
      <c r="N610" s="6"/>
      <c r="O610" s="6"/>
    </row>
    <row r="611">
      <c r="C611" s="24"/>
      <c r="F611" s="24"/>
      <c r="H611" s="24"/>
      <c r="I611" s="24"/>
      <c r="J611" s="24"/>
      <c r="N611" s="6"/>
      <c r="O611" s="6"/>
    </row>
    <row r="612">
      <c r="C612" s="24"/>
      <c r="F612" s="24"/>
      <c r="H612" s="24"/>
      <c r="I612" s="24"/>
      <c r="J612" s="24"/>
      <c r="N612" s="6"/>
      <c r="O612" s="6"/>
    </row>
    <row r="613">
      <c r="C613" s="24"/>
      <c r="F613" s="24"/>
      <c r="H613" s="24"/>
      <c r="I613" s="24"/>
      <c r="J613" s="24"/>
      <c r="N613" s="6"/>
      <c r="O613" s="6"/>
    </row>
    <row r="614">
      <c r="C614" s="24"/>
      <c r="F614" s="24"/>
      <c r="H614" s="24"/>
      <c r="I614" s="24"/>
      <c r="J614" s="24"/>
      <c r="N614" s="6"/>
      <c r="O614" s="6"/>
    </row>
    <row r="615">
      <c r="C615" s="24"/>
      <c r="F615" s="24"/>
      <c r="H615" s="24"/>
      <c r="I615" s="24"/>
      <c r="J615" s="24"/>
      <c r="N615" s="6"/>
      <c r="O615" s="6"/>
    </row>
    <row r="616">
      <c r="C616" s="24"/>
      <c r="F616" s="24"/>
      <c r="H616" s="24"/>
      <c r="I616" s="24"/>
      <c r="J616" s="24"/>
      <c r="N616" s="6"/>
      <c r="O616" s="6"/>
    </row>
    <row r="617">
      <c r="C617" s="24"/>
      <c r="F617" s="24"/>
      <c r="H617" s="24"/>
      <c r="I617" s="24"/>
      <c r="J617" s="24"/>
      <c r="N617" s="6"/>
      <c r="O617" s="6"/>
    </row>
    <row r="618">
      <c r="C618" s="24"/>
      <c r="F618" s="24"/>
      <c r="H618" s="24"/>
      <c r="I618" s="24"/>
      <c r="J618" s="24"/>
      <c r="N618" s="6"/>
      <c r="O618" s="6"/>
    </row>
    <row r="619">
      <c r="C619" s="24"/>
      <c r="F619" s="24"/>
      <c r="H619" s="24"/>
      <c r="I619" s="24"/>
      <c r="J619" s="24"/>
      <c r="N619" s="6"/>
      <c r="O619" s="6"/>
    </row>
    <row r="620">
      <c r="C620" s="24"/>
      <c r="F620" s="24"/>
      <c r="H620" s="24"/>
      <c r="I620" s="24"/>
      <c r="J620" s="24"/>
      <c r="N620" s="6"/>
      <c r="O620" s="6"/>
    </row>
    <row r="621">
      <c r="C621" s="24"/>
      <c r="F621" s="24"/>
      <c r="H621" s="24"/>
      <c r="I621" s="24"/>
      <c r="J621" s="24"/>
      <c r="N621" s="6"/>
      <c r="O621" s="6"/>
    </row>
    <row r="622">
      <c r="C622" s="24"/>
      <c r="F622" s="24"/>
      <c r="H622" s="24"/>
      <c r="I622" s="24"/>
      <c r="J622" s="24"/>
      <c r="N622" s="6"/>
      <c r="O622" s="6"/>
    </row>
    <row r="623">
      <c r="C623" s="24"/>
      <c r="F623" s="24"/>
      <c r="H623" s="24"/>
      <c r="I623" s="24"/>
      <c r="J623" s="24"/>
      <c r="N623" s="6"/>
      <c r="O623" s="6"/>
    </row>
    <row r="624">
      <c r="C624" s="24"/>
      <c r="F624" s="24"/>
      <c r="H624" s="24"/>
      <c r="I624" s="24"/>
      <c r="J624" s="24"/>
      <c r="N624" s="6"/>
      <c r="O624" s="6"/>
    </row>
    <row r="625">
      <c r="C625" s="24"/>
      <c r="F625" s="24"/>
      <c r="H625" s="24"/>
      <c r="I625" s="24"/>
      <c r="J625" s="24"/>
      <c r="N625" s="6"/>
      <c r="O625" s="6"/>
    </row>
    <row r="626">
      <c r="C626" s="24"/>
      <c r="F626" s="24"/>
      <c r="H626" s="24"/>
      <c r="I626" s="24"/>
      <c r="J626" s="24"/>
      <c r="N626" s="6"/>
      <c r="O626" s="6"/>
    </row>
    <row r="627">
      <c r="C627" s="24"/>
      <c r="F627" s="24"/>
      <c r="H627" s="24"/>
      <c r="I627" s="24"/>
      <c r="J627" s="24"/>
      <c r="N627" s="6"/>
      <c r="O627" s="6"/>
    </row>
    <row r="628">
      <c r="C628" s="24"/>
      <c r="F628" s="24"/>
      <c r="H628" s="24"/>
      <c r="I628" s="24"/>
      <c r="J628" s="24"/>
      <c r="N628" s="6"/>
      <c r="O628" s="6"/>
    </row>
    <row r="629">
      <c r="C629" s="24"/>
      <c r="F629" s="24"/>
      <c r="H629" s="24"/>
      <c r="I629" s="24"/>
      <c r="J629" s="24"/>
      <c r="N629" s="6"/>
      <c r="O629" s="6"/>
    </row>
    <row r="630">
      <c r="C630" s="24"/>
      <c r="F630" s="24"/>
      <c r="H630" s="24"/>
      <c r="I630" s="24"/>
      <c r="J630" s="24"/>
      <c r="N630" s="6"/>
      <c r="O630" s="6"/>
    </row>
    <row r="631">
      <c r="C631" s="24"/>
      <c r="F631" s="24"/>
      <c r="H631" s="24"/>
      <c r="I631" s="24"/>
      <c r="J631" s="24"/>
      <c r="N631" s="6"/>
      <c r="O631" s="6"/>
    </row>
    <row r="632">
      <c r="C632" s="24"/>
      <c r="F632" s="24"/>
      <c r="H632" s="24"/>
      <c r="I632" s="24"/>
      <c r="J632" s="24"/>
      <c r="N632" s="6"/>
      <c r="O632" s="6"/>
    </row>
    <row r="633">
      <c r="C633" s="24"/>
      <c r="F633" s="24"/>
      <c r="H633" s="24"/>
      <c r="I633" s="24"/>
      <c r="J633" s="24"/>
      <c r="N633" s="6"/>
      <c r="O633" s="6"/>
    </row>
    <row r="634">
      <c r="C634" s="24"/>
      <c r="F634" s="24"/>
      <c r="H634" s="24"/>
      <c r="I634" s="24"/>
      <c r="J634" s="24"/>
      <c r="N634" s="6"/>
      <c r="O634" s="6"/>
    </row>
    <row r="635">
      <c r="C635" s="24"/>
      <c r="F635" s="24"/>
      <c r="H635" s="24"/>
      <c r="I635" s="24"/>
      <c r="J635" s="24"/>
      <c r="N635" s="6"/>
      <c r="O635" s="6"/>
    </row>
    <row r="636">
      <c r="C636" s="24"/>
      <c r="F636" s="24"/>
      <c r="H636" s="24"/>
      <c r="I636" s="24"/>
      <c r="J636" s="24"/>
      <c r="N636" s="6"/>
      <c r="O636" s="6"/>
    </row>
    <row r="637">
      <c r="C637" s="24"/>
      <c r="F637" s="24"/>
      <c r="H637" s="24"/>
      <c r="I637" s="24"/>
      <c r="J637" s="24"/>
      <c r="N637" s="6"/>
      <c r="O637" s="6"/>
    </row>
    <row r="638">
      <c r="C638" s="24"/>
      <c r="F638" s="24"/>
      <c r="H638" s="24"/>
      <c r="I638" s="24"/>
      <c r="J638" s="24"/>
      <c r="N638" s="6"/>
      <c r="O638" s="6"/>
    </row>
    <row r="639">
      <c r="C639" s="24"/>
      <c r="F639" s="24"/>
      <c r="H639" s="24"/>
      <c r="I639" s="24"/>
      <c r="J639" s="24"/>
      <c r="N639" s="6"/>
      <c r="O639" s="6"/>
    </row>
    <row r="640">
      <c r="C640" s="24"/>
      <c r="F640" s="24"/>
      <c r="H640" s="24"/>
      <c r="I640" s="24"/>
      <c r="J640" s="24"/>
      <c r="N640" s="6"/>
      <c r="O640" s="6"/>
    </row>
    <row r="641">
      <c r="C641" s="24"/>
      <c r="F641" s="24"/>
      <c r="H641" s="24"/>
      <c r="I641" s="24"/>
      <c r="J641" s="24"/>
      <c r="N641" s="6"/>
      <c r="O641" s="6"/>
    </row>
    <row r="642">
      <c r="C642" s="24"/>
      <c r="F642" s="24"/>
      <c r="H642" s="24"/>
      <c r="I642" s="24"/>
      <c r="J642" s="24"/>
      <c r="N642" s="6"/>
      <c r="O642" s="6"/>
    </row>
    <row r="643">
      <c r="C643" s="24"/>
      <c r="F643" s="24"/>
      <c r="H643" s="24"/>
      <c r="I643" s="24"/>
      <c r="J643" s="24"/>
      <c r="N643" s="6"/>
      <c r="O643" s="6"/>
    </row>
    <row r="644">
      <c r="C644" s="24"/>
      <c r="F644" s="24"/>
      <c r="H644" s="24"/>
      <c r="I644" s="24"/>
      <c r="J644" s="24"/>
      <c r="N644" s="6"/>
      <c r="O644" s="6"/>
    </row>
    <row r="645">
      <c r="C645" s="24"/>
      <c r="F645" s="24"/>
      <c r="H645" s="24"/>
      <c r="I645" s="24"/>
      <c r="J645" s="24"/>
      <c r="N645" s="6"/>
      <c r="O645" s="6"/>
    </row>
    <row r="646">
      <c r="C646" s="24"/>
      <c r="F646" s="24"/>
      <c r="H646" s="24"/>
      <c r="I646" s="24"/>
      <c r="J646" s="24"/>
      <c r="N646" s="6"/>
      <c r="O646" s="6"/>
    </row>
    <row r="647">
      <c r="C647" s="24"/>
      <c r="F647" s="24"/>
      <c r="H647" s="24"/>
      <c r="I647" s="24"/>
      <c r="J647" s="24"/>
      <c r="N647" s="6"/>
      <c r="O647" s="6"/>
    </row>
    <row r="648">
      <c r="C648" s="24"/>
      <c r="F648" s="24"/>
      <c r="H648" s="24"/>
      <c r="I648" s="24"/>
      <c r="J648" s="24"/>
      <c r="N648" s="6"/>
      <c r="O648" s="6"/>
    </row>
    <row r="649">
      <c r="C649" s="24"/>
      <c r="F649" s="24"/>
      <c r="H649" s="24"/>
      <c r="I649" s="24"/>
      <c r="J649" s="24"/>
      <c r="N649" s="6"/>
      <c r="O649" s="6"/>
    </row>
    <row r="650">
      <c r="C650" s="24"/>
      <c r="F650" s="24"/>
      <c r="H650" s="24"/>
      <c r="I650" s="24"/>
      <c r="J650" s="24"/>
      <c r="N650" s="6"/>
      <c r="O650" s="6"/>
    </row>
    <row r="651">
      <c r="C651" s="24"/>
      <c r="F651" s="24"/>
      <c r="H651" s="24"/>
      <c r="I651" s="24"/>
      <c r="J651" s="24"/>
      <c r="N651" s="6"/>
      <c r="O651" s="6"/>
    </row>
    <row r="652">
      <c r="C652" s="24"/>
      <c r="F652" s="24"/>
      <c r="H652" s="24"/>
      <c r="I652" s="24"/>
      <c r="J652" s="24"/>
      <c r="N652" s="6"/>
      <c r="O652" s="6"/>
    </row>
    <row r="653">
      <c r="C653" s="24"/>
      <c r="F653" s="24"/>
      <c r="H653" s="24"/>
      <c r="I653" s="24"/>
      <c r="J653" s="24"/>
      <c r="N653" s="6"/>
      <c r="O653" s="6"/>
    </row>
    <row r="654">
      <c r="C654" s="24"/>
      <c r="F654" s="24"/>
      <c r="H654" s="24"/>
      <c r="I654" s="24"/>
      <c r="J654" s="24"/>
      <c r="N654" s="6"/>
      <c r="O654" s="6"/>
    </row>
    <row r="655">
      <c r="C655" s="24"/>
      <c r="F655" s="24"/>
      <c r="H655" s="24"/>
      <c r="I655" s="24"/>
      <c r="J655" s="24"/>
      <c r="N655" s="6"/>
      <c r="O655" s="6"/>
    </row>
    <row r="656">
      <c r="C656" s="24"/>
      <c r="F656" s="24"/>
      <c r="H656" s="24"/>
      <c r="I656" s="24"/>
      <c r="J656" s="24"/>
      <c r="N656" s="6"/>
      <c r="O656" s="6"/>
    </row>
    <row r="657">
      <c r="C657" s="24"/>
      <c r="F657" s="24"/>
      <c r="H657" s="24"/>
      <c r="I657" s="24"/>
      <c r="J657" s="24"/>
      <c r="N657" s="6"/>
      <c r="O657" s="6"/>
    </row>
    <row r="658">
      <c r="C658" s="24"/>
      <c r="F658" s="24"/>
      <c r="H658" s="24"/>
      <c r="I658" s="24"/>
      <c r="J658" s="24"/>
      <c r="N658" s="6"/>
      <c r="O658" s="6"/>
    </row>
    <row r="659">
      <c r="C659" s="24"/>
      <c r="F659" s="24"/>
      <c r="H659" s="24"/>
      <c r="I659" s="24"/>
      <c r="J659" s="24"/>
      <c r="N659" s="6"/>
      <c r="O659" s="6"/>
    </row>
    <row r="660">
      <c r="C660" s="24"/>
      <c r="F660" s="24"/>
      <c r="H660" s="24"/>
      <c r="I660" s="24"/>
      <c r="J660" s="24"/>
      <c r="N660" s="6"/>
      <c r="O660" s="6"/>
    </row>
    <row r="661">
      <c r="C661" s="24"/>
      <c r="F661" s="24"/>
      <c r="H661" s="24"/>
      <c r="I661" s="24"/>
      <c r="J661" s="24"/>
      <c r="N661" s="6"/>
      <c r="O661" s="6"/>
    </row>
    <row r="662">
      <c r="C662" s="24"/>
      <c r="F662" s="24"/>
      <c r="H662" s="24"/>
      <c r="I662" s="24"/>
      <c r="J662" s="24"/>
      <c r="N662" s="6"/>
      <c r="O662" s="6"/>
    </row>
    <row r="663">
      <c r="C663" s="24"/>
      <c r="F663" s="24"/>
      <c r="H663" s="24"/>
      <c r="I663" s="24"/>
      <c r="J663" s="24"/>
      <c r="N663" s="6"/>
      <c r="O663" s="6"/>
    </row>
    <row r="664">
      <c r="C664" s="24"/>
      <c r="F664" s="24"/>
      <c r="H664" s="24"/>
      <c r="I664" s="24"/>
      <c r="J664" s="24"/>
      <c r="N664" s="6"/>
      <c r="O664" s="6"/>
    </row>
    <row r="665">
      <c r="C665" s="24"/>
      <c r="F665" s="24"/>
      <c r="H665" s="24"/>
      <c r="I665" s="24"/>
      <c r="J665" s="24"/>
      <c r="N665" s="6"/>
      <c r="O665" s="6"/>
    </row>
    <row r="666">
      <c r="C666" s="24"/>
      <c r="F666" s="24"/>
      <c r="H666" s="24"/>
      <c r="I666" s="24"/>
      <c r="J666" s="24"/>
      <c r="N666" s="6"/>
      <c r="O666" s="6"/>
    </row>
    <row r="667">
      <c r="C667" s="24"/>
      <c r="F667" s="24"/>
      <c r="H667" s="24"/>
      <c r="I667" s="24"/>
      <c r="J667" s="24"/>
      <c r="N667" s="6"/>
      <c r="O667" s="6"/>
    </row>
    <row r="668">
      <c r="C668" s="24"/>
      <c r="F668" s="24"/>
      <c r="H668" s="24"/>
      <c r="I668" s="24"/>
      <c r="J668" s="24"/>
      <c r="N668" s="6"/>
      <c r="O668" s="6"/>
    </row>
    <row r="669">
      <c r="C669" s="24"/>
      <c r="F669" s="24"/>
      <c r="H669" s="24"/>
      <c r="I669" s="24"/>
      <c r="J669" s="24"/>
      <c r="N669" s="6"/>
      <c r="O669" s="6"/>
    </row>
    <row r="670">
      <c r="C670" s="24"/>
      <c r="F670" s="24"/>
      <c r="H670" s="24"/>
      <c r="I670" s="24"/>
      <c r="J670" s="24"/>
      <c r="N670" s="6"/>
      <c r="O670" s="6"/>
    </row>
    <row r="671">
      <c r="C671" s="24"/>
      <c r="F671" s="24"/>
      <c r="H671" s="24"/>
      <c r="I671" s="24"/>
      <c r="J671" s="24"/>
      <c r="N671" s="6"/>
      <c r="O671" s="6"/>
    </row>
    <row r="672">
      <c r="C672" s="24"/>
      <c r="F672" s="24"/>
      <c r="H672" s="24"/>
      <c r="I672" s="24"/>
      <c r="J672" s="24"/>
      <c r="N672" s="6"/>
      <c r="O672" s="6"/>
    </row>
    <row r="673">
      <c r="C673" s="24"/>
      <c r="F673" s="24"/>
      <c r="H673" s="24"/>
      <c r="I673" s="24"/>
      <c r="J673" s="24"/>
      <c r="N673" s="6"/>
      <c r="O673" s="6"/>
    </row>
    <row r="674">
      <c r="C674" s="24"/>
      <c r="F674" s="24"/>
      <c r="H674" s="24"/>
      <c r="I674" s="24"/>
      <c r="J674" s="24"/>
      <c r="N674" s="6"/>
      <c r="O674" s="6"/>
    </row>
    <row r="675">
      <c r="C675" s="24"/>
      <c r="F675" s="24"/>
      <c r="H675" s="24"/>
      <c r="I675" s="24"/>
      <c r="J675" s="24"/>
      <c r="N675" s="6"/>
      <c r="O675" s="6"/>
    </row>
    <row r="676">
      <c r="C676" s="24"/>
      <c r="F676" s="24"/>
      <c r="H676" s="24"/>
      <c r="I676" s="24"/>
      <c r="J676" s="24"/>
      <c r="N676" s="6"/>
      <c r="O676" s="6"/>
    </row>
    <row r="677">
      <c r="C677" s="24"/>
      <c r="F677" s="24"/>
      <c r="H677" s="24"/>
      <c r="I677" s="24"/>
      <c r="J677" s="24"/>
      <c r="N677" s="6"/>
      <c r="O677" s="6"/>
    </row>
    <row r="678">
      <c r="C678" s="24"/>
      <c r="F678" s="24"/>
      <c r="H678" s="24"/>
      <c r="I678" s="24"/>
      <c r="J678" s="24"/>
      <c r="N678" s="6"/>
      <c r="O678" s="6"/>
    </row>
    <row r="679">
      <c r="C679" s="24"/>
      <c r="F679" s="24"/>
      <c r="H679" s="24"/>
      <c r="I679" s="24"/>
      <c r="J679" s="24"/>
      <c r="N679" s="6"/>
      <c r="O679" s="6"/>
    </row>
    <row r="680">
      <c r="C680" s="24"/>
      <c r="F680" s="24"/>
      <c r="H680" s="24"/>
      <c r="I680" s="24"/>
      <c r="J680" s="24"/>
      <c r="N680" s="6"/>
      <c r="O680" s="6"/>
    </row>
    <row r="681">
      <c r="C681" s="24"/>
      <c r="F681" s="24"/>
      <c r="H681" s="24"/>
      <c r="I681" s="24"/>
      <c r="J681" s="24"/>
      <c r="N681" s="6"/>
      <c r="O681" s="6"/>
    </row>
    <row r="682">
      <c r="C682" s="24"/>
      <c r="F682" s="24"/>
      <c r="H682" s="24"/>
      <c r="I682" s="24"/>
      <c r="J682" s="24"/>
      <c r="N682" s="6"/>
      <c r="O682" s="6"/>
    </row>
    <row r="683">
      <c r="C683" s="24"/>
      <c r="F683" s="24"/>
      <c r="H683" s="24"/>
      <c r="I683" s="24"/>
      <c r="J683" s="24"/>
      <c r="N683" s="6"/>
      <c r="O683" s="6"/>
    </row>
    <row r="684">
      <c r="C684" s="24"/>
      <c r="F684" s="24"/>
      <c r="H684" s="24"/>
      <c r="I684" s="24"/>
      <c r="J684" s="24"/>
      <c r="N684" s="6"/>
      <c r="O684" s="6"/>
    </row>
    <row r="685">
      <c r="C685" s="24"/>
      <c r="F685" s="24"/>
      <c r="H685" s="24"/>
      <c r="I685" s="24"/>
      <c r="J685" s="24"/>
      <c r="N685" s="6"/>
      <c r="O685" s="6"/>
    </row>
    <row r="686">
      <c r="C686" s="24"/>
      <c r="F686" s="24"/>
      <c r="H686" s="24"/>
      <c r="I686" s="24"/>
      <c r="J686" s="24"/>
      <c r="N686" s="6"/>
      <c r="O686" s="6"/>
    </row>
    <row r="687">
      <c r="C687" s="24"/>
      <c r="F687" s="24"/>
      <c r="H687" s="24"/>
      <c r="I687" s="24"/>
      <c r="J687" s="24"/>
      <c r="N687" s="6"/>
      <c r="O687" s="6"/>
    </row>
    <row r="688">
      <c r="C688" s="24"/>
      <c r="F688" s="24"/>
      <c r="H688" s="24"/>
      <c r="I688" s="24"/>
      <c r="J688" s="24"/>
      <c r="N688" s="6"/>
      <c r="O688" s="6"/>
    </row>
    <row r="689">
      <c r="C689" s="24"/>
      <c r="F689" s="24"/>
      <c r="H689" s="24"/>
      <c r="I689" s="24"/>
      <c r="J689" s="24"/>
      <c r="N689" s="6"/>
      <c r="O689" s="6"/>
    </row>
    <row r="690">
      <c r="C690" s="24"/>
      <c r="F690" s="24"/>
      <c r="H690" s="24"/>
      <c r="I690" s="24"/>
      <c r="J690" s="24"/>
      <c r="N690" s="6"/>
      <c r="O690" s="6"/>
    </row>
    <row r="691">
      <c r="C691" s="24"/>
      <c r="F691" s="24"/>
      <c r="H691" s="24"/>
      <c r="I691" s="24"/>
      <c r="J691" s="24"/>
      <c r="N691" s="6"/>
      <c r="O691" s="6"/>
    </row>
    <row r="692">
      <c r="C692" s="24"/>
      <c r="F692" s="24"/>
      <c r="H692" s="24"/>
      <c r="I692" s="24"/>
      <c r="J692" s="24"/>
      <c r="N692" s="6"/>
      <c r="O692" s="6"/>
    </row>
    <row r="693">
      <c r="C693" s="24"/>
      <c r="F693" s="24"/>
      <c r="H693" s="24"/>
      <c r="I693" s="24"/>
      <c r="J693" s="24"/>
      <c r="N693" s="6"/>
      <c r="O693" s="6"/>
    </row>
    <row r="694">
      <c r="C694" s="24"/>
      <c r="F694" s="24"/>
      <c r="H694" s="24"/>
      <c r="I694" s="24"/>
      <c r="J694" s="24"/>
      <c r="N694" s="6"/>
      <c r="O694" s="6"/>
    </row>
    <row r="695">
      <c r="C695" s="24"/>
      <c r="F695" s="24"/>
      <c r="H695" s="24"/>
      <c r="I695" s="24"/>
      <c r="J695" s="24"/>
      <c r="N695" s="6"/>
      <c r="O695" s="6"/>
    </row>
    <row r="696">
      <c r="C696" s="24"/>
      <c r="F696" s="24"/>
      <c r="H696" s="24"/>
      <c r="I696" s="24"/>
      <c r="J696" s="24"/>
      <c r="N696" s="6"/>
      <c r="O696" s="6"/>
    </row>
    <row r="697">
      <c r="C697" s="24"/>
      <c r="F697" s="24"/>
      <c r="H697" s="24"/>
      <c r="I697" s="24"/>
      <c r="J697" s="24"/>
      <c r="N697" s="6"/>
      <c r="O697" s="6"/>
    </row>
    <row r="698">
      <c r="C698" s="24"/>
      <c r="F698" s="24"/>
      <c r="H698" s="24"/>
      <c r="I698" s="24"/>
      <c r="J698" s="24"/>
      <c r="N698" s="6"/>
      <c r="O698" s="6"/>
    </row>
    <row r="699">
      <c r="C699" s="24"/>
      <c r="F699" s="24"/>
      <c r="H699" s="24"/>
      <c r="I699" s="24"/>
      <c r="J699" s="24"/>
      <c r="N699" s="6"/>
      <c r="O699" s="6"/>
    </row>
    <row r="700">
      <c r="C700" s="24"/>
      <c r="F700" s="24"/>
      <c r="H700" s="24"/>
      <c r="I700" s="24"/>
      <c r="J700" s="24"/>
      <c r="N700" s="6"/>
      <c r="O700" s="6"/>
    </row>
    <row r="701">
      <c r="C701" s="24"/>
      <c r="F701" s="24"/>
      <c r="H701" s="24"/>
      <c r="I701" s="24"/>
      <c r="J701" s="24"/>
      <c r="N701" s="6"/>
      <c r="O701" s="6"/>
    </row>
    <row r="702">
      <c r="C702" s="24"/>
      <c r="F702" s="24"/>
      <c r="H702" s="24"/>
      <c r="I702" s="24"/>
      <c r="J702" s="24"/>
      <c r="N702" s="6"/>
      <c r="O702" s="6"/>
    </row>
    <row r="703">
      <c r="C703" s="24"/>
      <c r="F703" s="24"/>
      <c r="H703" s="24"/>
      <c r="I703" s="24"/>
      <c r="J703" s="24"/>
      <c r="N703" s="6"/>
      <c r="O703" s="6"/>
    </row>
    <row r="704">
      <c r="C704" s="24"/>
      <c r="F704" s="24"/>
      <c r="H704" s="24"/>
      <c r="I704" s="24"/>
      <c r="J704" s="24"/>
      <c r="N704" s="6"/>
      <c r="O704" s="6"/>
    </row>
    <row r="705">
      <c r="C705" s="24"/>
      <c r="F705" s="24"/>
      <c r="H705" s="24"/>
      <c r="I705" s="24"/>
      <c r="J705" s="24"/>
      <c r="N705" s="6"/>
      <c r="O705" s="6"/>
    </row>
    <row r="706">
      <c r="C706" s="24"/>
      <c r="F706" s="24"/>
      <c r="H706" s="24"/>
      <c r="I706" s="24"/>
      <c r="J706" s="24"/>
      <c r="N706" s="6"/>
      <c r="O706" s="6"/>
    </row>
    <row r="707">
      <c r="C707" s="24"/>
      <c r="F707" s="24"/>
      <c r="H707" s="24"/>
      <c r="I707" s="24"/>
      <c r="J707" s="24"/>
      <c r="N707" s="6"/>
      <c r="O707" s="6"/>
    </row>
    <row r="708">
      <c r="C708" s="24"/>
      <c r="F708" s="24"/>
      <c r="H708" s="24"/>
      <c r="I708" s="24"/>
      <c r="J708" s="24"/>
      <c r="N708" s="6"/>
      <c r="O708" s="6"/>
    </row>
    <row r="709">
      <c r="C709" s="24"/>
      <c r="F709" s="24"/>
      <c r="H709" s="24"/>
      <c r="I709" s="24"/>
      <c r="J709" s="24"/>
      <c r="N709" s="6"/>
      <c r="O709" s="6"/>
    </row>
    <row r="710">
      <c r="C710" s="24"/>
      <c r="F710" s="24"/>
      <c r="H710" s="24"/>
      <c r="I710" s="24"/>
      <c r="J710" s="24"/>
      <c r="N710" s="6"/>
      <c r="O710" s="6"/>
    </row>
    <row r="711">
      <c r="C711" s="24"/>
      <c r="F711" s="24"/>
      <c r="H711" s="24"/>
      <c r="I711" s="24"/>
      <c r="J711" s="24"/>
      <c r="N711" s="6"/>
      <c r="O711" s="6"/>
    </row>
    <row r="712">
      <c r="C712" s="24"/>
      <c r="F712" s="24"/>
      <c r="H712" s="24"/>
      <c r="I712" s="24"/>
      <c r="J712" s="24"/>
      <c r="N712" s="6"/>
      <c r="O712" s="6"/>
    </row>
    <row r="713">
      <c r="C713" s="24"/>
      <c r="F713" s="24"/>
      <c r="H713" s="24"/>
      <c r="I713" s="24"/>
      <c r="J713" s="24"/>
      <c r="N713" s="6"/>
      <c r="O713" s="6"/>
    </row>
    <row r="714">
      <c r="C714" s="24"/>
      <c r="F714" s="24"/>
      <c r="H714" s="24"/>
      <c r="I714" s="24"/>
      <c r="J714" s="24"/>
      <c r="N714" s="6"/>
      <c r="O714" s="6"/>
    </row>
    <row r="715">
      <c r="C715" s="24"/>
      <c r="F715" s="24"/>
      <c r="H715" s="24"/>
      <c r="I715" s="24"/>
      <c r="J715" s="24"/>
      <c r="N715" s="6"/>
      <c r="O715" s="6"/>
    </row>
    <row r="716">
      <c r="C716" s="24"/>
      <c r="F716" s="24"/>
      <c r="H716" s="24"/>
      <c r="I716" s="24"/>
      <c r="J716" s="24"/>
      <c r="N716" s="6"/>
      <c r="O716" s="6"/>
    </row>
    <row r="717">
      <c r="C717" s="24"/>
      <c r="F717" s="24"/>
      <c r="H717" s="24"/>
      <c r="I717" s="24"/>
      <c r="J717" s="24"/>
      <c r="N717" s="6"/>
      <c r="O717" s="6"/>
    </row>
    <row r="718">
      <c r="C718" s="24"/>
      <c r="F718" s="24"/>
      <c r="H718" s="24"/>
      <c r="I718" s="24"/>
      <c r="J718" s="24"/>
      <c r="N718" s="6"/>
      <c r="O718" s="6"/>
    </row>
    <row r="719">
      <c r="C719" s="24"/>
      <c r="F719" s="24"/>
      <c r="H719" s="24"/>
      <c r="I719" s="24"/>
      <c r="J719" s="24"/>
      <c r="N719" s="6"/>
      <c r="O719" s="6"/>
    </row>
    <row r="720">
      <c r="C720" s="24"/>
      <c r="F720" s="24"/>
      <c r="H720" s="24"/>
      <c r="I720" s="24"/>
      <c r="J720" s="24"/>
      <c r="N720" s="6"/>
      <c r="O720" s="6"/>
    </row>
    <row r="721">
      <c r="C721" s="24"/>
      <c r="F721" s="24"/>
      <c r="H721" s="24"/>
      <c r="I721" s="24"/>
      <c r="J721" s="24"/>
      <c r="N721" s="6"/>
      <c r="O721" s="6"/>
    </row>
    <row r="722">
      <c r="C722" s="24"/>
      <c r="F722" s="24"/>
      <c r="H722" s="24"/>
      <c r="I722" s="24"/>
      <c r="J722" s="24"/>
      <c r="N722" s="6"/>
      <c r="O722" s="6"/>
    </row>
    <row r="723">
      <c r="C723" s="24"/>
      <c r="F723" s="24"/>
      <c r="H723" s="24"/>
      <c r="I723" s="24"/>
      <c r="J723" s="24"/>
      <c r="N723" s="6"/>
      <c r="O723" s="6"/>
    </row>
    <row r="724">
      <c r="C724" s="24"/>
      <c r="F724" s="24"/>
      <c r="H724" s="24"/>
      <c r="I724" s="24"/>
      <c r="J724" s="24"/>
      <c r="N724" s="6"/>
      <c r="O724" s="6"/>
    </row>
    <row r="725">
      <c r="C725" s="24"/>
      <c r="F725" s="24"/>
      <c r="H725" s="24"/>
      <c r="I725" s="24"/>
      <c r="J725" s="24"/>
      <c r="N725" s="6"/>
      <c r="O725" s="6"/>
    </row>
    <row r="726">
      <c r="C726" s="24"/>
      <c r="F726" s="24"/>
      <c r="H726" s="24"/>
      <c r="I726" s="24"/>
      <c r="J726" s="24"/>
      <c r="N726" s="6"/>
      <c r="O726" s="6"/>
    </row>
    <row r="727">
      <c r="C727" s="24"/>
      <c r="F727" s="24"/>
      <c r="H727" s="24"/>
      <c r="I727" s="24"/>
      <c r="J727" s="24"/>
      <c r="N727" s="6"/>
      <c r="O727" s="6"/>
    </row>
    <row r="728">
      <c r="C728" s="24"/>
      <c r="F728" s="24"/>
      <c r="H728" s="24"/>
      <c r="I728" s="24"/>
      <c r="J728" s="24"/>
      <c r="N728" s="6"/>
      <c r="O728" s="6"/>
    </row>
    <row r="729">
      <c r="C729" s="24"/>
      <c r="F729" s="24"/>
      <c r="H729" s="24"/>
      <c r="I729" s="24"/>
      <c r="J729" s="24"/>
      <c r="N729" s="6"/>
      <c r="O729" s="6"/>
    </row>
    <row r="730">
      <c r="C730" s="24"/>
      <c r="F730" s="24"/>
      <c r="H730" s="24"/>
      <c r="I730" s="24"/>
      <c r="J730" s="24"/>
      <c r="N730" s="6"/>
      <c r="O730" s="6"/>
    </row>
    <row r="731">
      <c r="C731" s="24"/>
      <c r="F731" s="24"/>
      <c r="H731" s="24"/>
      <c r="I731" s="24"/>
      <c r="J731" s="24"/>
      <c r="N731" s="6"/>
      <c r="O731" s="6"/>
    </row>
    <row r="732">
      <c r="C732" s="24"/>
      <c r="F732" s="24"/>
      <c r="H732" s="24"/>
      <c r="I732" s="24"/>
      <c r="J732" s="24"/>
      <c r="N732" s="6"/>
      <c r="O732" s="6"/>
    </row>
    <row r="733">
      <c r="C733" s="24"/>
      <c r="F733" s="24"/>
      <c r="H733" s="24"/>
      <c r="I733" s="24"/>
      <c r="J733" s="24"/>
      <c r="N733" s="6"/>
      <c r="O733" s="6"/>
    </row>
    <row r="734">
      <c r="C734" s="24"/>
      <c r="F734" s="24"/>
      <c r="H734" s="24"/>
      <c r="I734" s="24"/>
      <c r="J734" s="24"/>
      <c r="N734" s="6"/>
      <c r="O734" s="6"/>
    </row>
    <row r="735">
      <c r="C735" s="24"/>
      <c r="F735" s="24"/>
      <c r="H735" s="24"/>
      <c r="I735" s="24"/>
      <c r="J735" s="24"/>
      <c r="N735" s="6"/>
      <c r="O735" s="6"/>
    </row>
    <row r="736">
      <c r="C736" s="24"/>
      <c r="F736" s="24"/>
      <c r="H736" s="24"/>
      <c r="I736" s="24"/>
      <c r="J736" s="24"/>
      <c r="N736" s="6"/>
      <c r="O736" s="6"/>
    </row>
    <row r="737">
      <c r="C737" s="24"/>
      <c r="F737" s="24"/>
      <c r="H737" s="24"/>
      <c r="I737" s="24"/>
      <c r="J737" s="24"/>
      <c r="N737" s="6"/>
      <c r="O737" s="6"/>
    </row>
    <row r="738">
      <c r="C738" s="24"/>
      <c r="F738" s="24"/>
      <c r="H738" s="24"/>
      <c r="I738" s="24"/>
      <c r="J738" s="24"/>
      <c r="N738" s="6"/>
      <c r="O738" s="6"/>
    </row>
    <row r="739">
      <c r="C739" s="24"/>
      <c r="F739" s="24"/>
      <c r="H739" s="24"/>
      <c r="I739" s="24"/>
      <c r="J739" s="24"/>
      <c r="N739" s="6"/>
      <c r="O739" s="6"/>
    </row>
    <row r="740">
      <c r="C740" s="24"/>
      <c r="F740" s="24"/>
      <c r="H740" s="24"/>
      <c r="I740" s="24"/>
      <c r="J740" s="24"/>
      <c r="N740" s="6"/>
      <c r="O740" s="6"/>
    </row>
    <row r="741">
      <c r="C741" s="24"/>
      <c r="F741" s="24"/>
      <c r="H741" s="24"/>
      <c r="I741" s="24"/>
      <c r="J741" s="24"/>
      <c r="N741" s="6"/>
      <c r="O741" s="6"/>
    </row>
    <row r="742">
      <c r="C742" s="24"/>
      <c r="F742" s="24"/>
      <c r="H742" s="24"/>
      <c r="I742" s="24"/>
      <c r="J742" s="24"/>
      <c r="N742" s="6"/>
      <c r="O742" s="6"/>
    </row>
    <row r="743">
      <c r="C743" s="24"/>
      <c r="F743" s="24"/>
      <c r="H743" s="24"/>
      <c r="I743" s="24"/>
      <c r="J743" s="24"/>
      <c r="N743" s="6"/>
      <c r="O743" s="6"/>
    </row>
    <row r="744">
      <c r="C744" s="24"/>
      <c r="F744" s="24"/>
      <c r="H744" s="24"/>
      <c r="I744" s="24"/>
      <c r="J744" s="24"/>
      <c r="N744" s="6"/>
      <c r="O744" s="6"/>
    </row>
    <row r="745">
      <c r="C745" s="24"/>
      <c r="F745" s="24"/>
      <c r="H745" s="24"/>
      <c r="I745" s="24"/>
      <c r="J745" s="24"/>
      <c r="N745" s="6"/>
      <c r="O745" s="6"/>
    </row>
    <row r="746">
      <c r="C746" s="24"/>
      <c r="F746" s="24"/>
      <c r="H746" s="24"/>
      <c r="I746" s="24"/>
      <c r="J746" s="24"/>
      <c r="N746" s="6"/>
      <c r="O746" s="6"/>
    </row>
    <row r="747">
      <c r="C747" s="24"/>
      <c r="F747" s="24"/>
      <c r="H747" s="24"/>
      <c r="I747" s="24"/>
      <c r="J747" s="24"/>
      <c r="N747" s="6"/>
      <c r="O747" s="6"/>
    </row>
    <row r="748">
      <c r="C748" s="24"/>
      <c r="F748" s="24"/>
      <c r="H748" s="24"/>
      <c r="I748" s="24"/>
      <c r="J748" s="24"/>
      <c r="N748" s="6"/>
      <c r="O748" s="6"/>
    </row>
    <row r="749">
      <c r="C749" s="24"/>
      <c r="F749" s="24"/>
      <c r="H749" s="24"/>
      <c r="I749" s="24"/>
      <c r="J749" s="24"/>
      <c r="N749" s="6"/>
      <c r="O749" s="6"/>
    </row>
    <row r="750">
      <c r="C750" s="24"/>
      <c r="F750" s="24"/>
      <c r="H750" s="24"/>
      <c r="I750" s="24"/>
      <c r="J750" s="24"/>
      <c r="N750" s="6"/>
      <c r="O750" s="6"/>
    </row>
    <row r="751">
      <c r="C751" s="24"/>
      <c r="F751" s="24"/>
      <c r="H751" s="24"/>
      <c r="I751" s="24"/>
      <c r="J751" s="24"/>
      <c r="N751" s="6"/>
      <c r="O751" s="6"/>
    </row>
    <row r="752">
      <c r="C752" s="24"/>
      <c r="F752" s="24"/>
      <c r="H752" s="24"/>
      <c r="I752" s="24"/>
      <c r="J752" s="24"/>
      <c r="N752" s="6"/>
      <c r="O752" s="6"/>
    </row>
    <row r="753">
      <c r="C753" s="24"/>
      <c r="F753" s="24"/>
      <c r="H753" s="24"/>
      <c r="I753" s="24"/>
      <c r="J753" s="24"/>
      <c r="N753" s="6"/>
      <c r="O753" s="6"/>
    </row>
    <row r="754">
      <c r="C754" s="24"/>
      <c r="F754" s="24"/>
      <c r="H754" s="24"/>
      <c r="I754" s="24"/>
      <c r="J754" s="24"/>
      <c r="N754" s="6"/>
      <c r="O754" s="6"/>
    </row>
    <row r="755">
      <c r="C755" s="24"/>
      <c r="F755" s="24"/>
      <c r="H755" s="24"/>
      <c r="I755" s="24"/>
      <c r="J755" s="24"/>
      <c r="N755" s="6"/>
      <c r="O755" s="6"/>
    </row>
    <row r="756">
      <c r="C756" s="24"/>
      <c r="F756" s="24"/>
      <c r="H756" s="24"/>
      <c r="I756" s="24"/>
      <c r="J756" s="24"/>
      <c r="N756" s="6"/>
      <c r="O756" s="6"/>
    </row>
    <row r="757">
      <c r="C757" s="24"/>
      <c r="F757" s="24"/>
      <c r="H757" s="24"/>
      <c r="I757" s="24"/>
      <c r="J757" s="24"/>
      <c r="N757" s="6"/>
      <c r="O757" s="6"/>
    </row>
    <row r="758">
      <c r="C758" s="24"/>
      <c r="F758" s="24"/>
      <c r="H758" s="24"/>
      <c r="I758" s="24"/>
      <c r="J758" s="24"/>
      <c r="N758" s="6"/>
      <c r="O758" s="6"/>
    </row>
    <row r="759">
      <c r="C759" s="24"/>
      <c r="F759" s="24"/>
      <c r="H759" s="24"/>
      <c r="I759" s="24"/>
      <c r="J759" s="24"/>
      <c r="N759" s="6"/>
      <c r="O759" s="6"/>
    </row>
    <row r="760">
      <c r="C760" s="24"/>
      <c r="F760" s="24"/>
      <c r="H760" s="24"/>
      <c r="I760" s="24"/>
      <c r="J760" s="24"/>
      <c r="N760" s="6"/>
      <c r="O760" s="6"/>
    </row>
    <row r="761">
      <c r="C761" s="24"/>
      <c r="F761" s="24"/>
      <c r="H761" s="24"/>
      <c r="I761" s="24"/>
      <c r="J761" s="24"/>
      <c r="N761" s="6"/>
      <c r="O761" s="6"/>
    </row>
    <row r="762">
      <c r="C762" s="24"/>
      <c r="F762" s="24"/>
      <c r="H762" s="24"/>
      <c r="I762" s="24"/>
      <c r="J762" s="24"/>
      <c r="N762" s="6"/>
      <c r="O762" s="6"/>
    </row>
    <row r="763">
      <c r="C763" s="24"/>
      <c r="F763" s="24"/>
      <c r="H763" s="24"/>
      <c r="I763" s="24"/>
      <c r="J763" s="24"/>
      <c r="N763" s="6"/>
      <c r="O763" s="6"/>
    </row>
    <row r="764">
      <c r="C764" s="24"/>
      <c r="F764" s="24"/>
      <c r="H764" s="24"/>
      <c r="I764" s="24"/>
      <c r="J764" s="24"/>
      <c r="N764" s="6"/>
      <c r="O764" s="6"/>
    </row>
    <row r="765">
      <c r="C765" s="24"/>
      <c r="F765" s="24"/>
      <c r="H765" s="24"/>
      <c r="I765" s="24"/>
      <c r="J765" s="24"/>
      <c r="N765" s="6"/>
      <c r="O765" s="6"/>
    </row>
    <row r="766">
      <c r="C766" s="24"/>
      <c r="F766" s="24"/>
      <c r="H766" s="24"/>
      <c r="I766" s="24"/>
      <c r="J766" s="24"/>
      <c r="N766" s="6"/>
      <c r="O766" s="6"/>
    </row>
    <row r="767">
      <c r="C767" s="24"/>
      <c r="F767" s="24"/>
      <c r="H767" s="24"/>
      <c r="I767" s="24"/>
      <c r="J767" s="24"/>
      <c r="N767" s="6"/>
      <c r="O767" s="6"/>
    </row>
    <row r="768">
      <c r="C768" s="24"/>
      <c r="F768" s="24"/>
      <c r="H768" s="24"/>
      <c r="I768" s="24"/>
      <c r="J768" s="24"/>
      <c r="N768" s="6"/>
      <c r="O768" s="6"/>
    </row>
    <row r="769">
      <c r="C769" s="24"/>
      <c r="F769" s="24"/>
      <c r="H769" s="24"/>
      <c r="I769" s="24"/>
      <c r="J769" s="24"/>
      <c r="N769" s="6"/>
      <c r="O769" s="6"/>
    </row>
    <row r="770">
      <c r="C770" s="24"/>
      <c r="F770" s="24"/>
      <c r="H770" s="24"/>
      <c r="I770" s="24"/>
      <c r="J770" s="24"/>
      <c r="N770" s="6"/>
      <c r="O770" s="6"/>
    </row>
    <row r="771">
      <c r="C771" s="24"/>
      <c r="F771" s="24"/>
      <c r="H771" s="24"/>
      <c r="I771" s="24"/>
      <c r="J771" s="24"/>
      <c r="N771" s="6"/>
      <c r="O771" s="6"/>
    </row>
    <row r="772">
      <c r="C772" s="24"/>
      <c r="F772" s="24"/>
      <c r="H772" s="24"/>
      <c r="I772" s="24"/>
      <c r="J772" s="24"/>
      <c r="N772" s="6"/>
      <c r="O772" s="6"/>
    </row>
    <row r="773">
      <c r="C773" s="24"/>
      <c r="F773" s="24"/>
      <c r="H773" s="24"/>
      <c r="I773" s="24"/>
      <c r="J773" s="24"/>
      <c r="N773" s="6"/>
      <c r="O773" s="6"/>
    </row>
    <row r="774">
      <c r="C774" s="24"/>
      <c r="F774" s="24"/>
      <c r="H774" s="24"/>
      <c r="I774" s="24"/>
      <c r="J774" s="24"/>
      <c r="N774" s="6"/>
      <c r="O774" s="6"/>
    </row>
    <row r="775">
      <c r="C775" s="24"/>
      <c r="F775" s="24"/>
      <c r="H775" s="24"/>
      <c r="I775" s="24"/>
      <c r="J775" s="24"/>
      <c r="N775" s="6"/>
      <c r="O775" s="6"/>
    </row>
    <row r="776">
      <c r="C776" s="24"/>
      <c r="F776" s="24"/>
      <c r="H776" s="24"/>
      <c r="I776" s="24"/>
      <c r="J776" s="24"/>
      <c r="N776" s="6"/>
      <c r="O776" s="6"/>
    </row>
    <row r="777">
      <c r="C777" s="24"/>
      <c r="F777" s="24"/>
      <c r="H777" s="24"/>
      <c r="I777" s="24"/>
      <c r="J777" s="24"/>
      <c r="N777" s="6"/>
      <c r="O777" s="6"/>
    </row>
    <row r="778">
      <c r="C778" s="24"/>
      <c r="F778" s="24"/>
      <c r="H778" s="24"/>
      <c r="I778" s="24"/>
      <c r="J778" s="24"/>
      <c r="N778" s="6"/>
      <c r="O778" s="6"/>
    </row>
    <row r="779">
      <c r="C779" s="24"/>
      <c r="F779" s="24"/>
      <c r="H779" s="24"/>
      <c r="I779" s="24"/>
      <c r="J779" s="24"/>
      <c r="N779" s="6"/>
      <c r="O779" s="6"/>
    </row>
    <row r="780">
      <c r="C780" s="24"/>
      <c r="F780" s="24"/>
      <c r="H780" s="24"/>
      <c r="I780" s="24"/>
      <c r="J780" s="24"/>
      <c r="N780" s="6"/>
      <c r="O780" s="6"/>
    </row>
    <row r="781">
      <c r="C781" s="24"/>
      <c r="F781" s="24"/>
      <c r="H781" s="24"/>
      <c r="I781" s="24"/>
      <c r="J781" s="24"/>
      <c r="N781" s="6"/>
      <c r="O781" s="6"/>
    </row>
    <row r="782">
      <c r="C782" s="24"/>
      <c r="F782" s="24"/>
      <c r="H782" s="24"/>
      <c r="I782" s="24"/>
      <c r="J782" s="24"/>
      <c r="N782" s="6"/>
      <c r="O782" s="6"/>
    </row>
    <row r="783">
      <c r="C783" s="24"/>
      <c r="F783" s="24"/>
      <c r="H783" s="24"/>
      <c r="I783" s="24"/>
      <c r="J783" s="24"/>
      <c r="N783" s="6"/>
      <c r="O783" s="6"/>
    </row>
    <row r="784">
      <c r="C784" s="24"/>
      <c r="F784" s="24"/>
      <c r="H784" s="24"/>
      <c r="I784" s="24"/>
      <c r="J784" s="24"/>
      <c r="N784" s="6"/>
      <c r="O784" s="6"/>
    </row>
    <row r="785">
      <c r="C785" s="24"/>
      <c r="F785" s="24"/>
      <c r="H785" s="24"/>
      <c r="I785" s="24"/>
      <c r="J785" s="24"/>
      <c r="N785" s="6"/>
      <c r="O785" s="6"/>
    </row>
    <row r="786">
      <c r="C786" s="24"/>
      <c r="F786" s="24"/>
      <c r="H786" s="24"/>
      <c r="I786" s="24"/>
      <c r="J786" s="24"/>
      <c r="N786" s="6"/>
      <c r="O786" s="6"/>
    </row>
    <row r="787">
      <c r="C787" s="24"/>
      <c r="F787" s="24"/>
      <c r="H787" s="24"/>
      <c r="I787" s="24"/>
      <c r="J787" s="24"/>
      <c r="N787" s="6"/>
      <c r="O787" s="6"/>
    </row>
    <row r="788">
      <c r="C788" s="24"/>
      <c r="F788" s="24"/>
      <c r="H788" s="24"/>
      <c r="I788" s="24"/>
      <c r="J788" s="24"/>
      <c r="N788" s="6"/>
      <c r="O788" s="6"/>
    </row>
    <row r="789">
      <c r="C789" s="24"/>
      <c r="F789" s="24"/>
      <c r="H789" s="24"/>
      <c r="I789" s="24"/>
      <c r="J789" s="24"/>
      <c r="N789" s="6"/>
      <c r="O789" s="6"/>
    </row>
    <row r="790">
      <c r="C790" s="24"/>
      <c r="F790" s="24"/>
      <c r="H790" s="24"/>
      <c r="I790" s="24"/>
      <c r="J790" s="24"/>
      <c r="N790" s="6"/>
      <c r="O790" s="6"/>
    </row>
    <row r="791">
      <c r="C791" s="24"/>
      <c r="F791" s="24"/>
      <c r="H791" s="24"/>
      <c r="I791" s="24"/>
      <c r="J791" s="24"/>
      <c r="N791" s="6"/>
      <c r="O791" s="6"/>
    </row>
    <row r="792">
      <c r="C792" s="24"/>
      <c r="F792" s="24"/>
      <c r="H792" s="24"/>
      <c r="I792" s="24"/>
      <c r="J792" s="24"/>
      <c r="N792" s="6"/>
      <c r="O792" s="6"/>
    </row>
    <row r="793">
      <c r="C793" s="24"/>
      <c r="F793" s="24"/>
      <c r="H793" s="24"/>
      <c r="I793" s="24"/>
      <c r="J793" s="24"/>
      <c r="N793" s="6"/>
      <c r="O793" s="6"/>
    </row>
    <row r="794">
      <c r="C794" s="24"/>
      <c r="F794" s="24"/>
      <c r="H794" s="24"/>
      <c r="I794" s="24"/>
      <c r="J794" s="24"/>
      <c r="N794" s="6"/>
      <c r="O794" s="6"/>
    </row>
    <row r="795">
      <c r="C795" s="24"/>
      <c r="F795" s="24"/>
      <c r="H795" s="24"/>
      <c r="I795" s="24"/>
      <c r="J795" s="24"/>
      <c r="N795" s="6"/>
      <c r="O795" s="6"/>
    </row>
    <row r="796">
      <c r="C796" s="24"/>
      <c r="F796" s="24"/>
      <c r="H796" s="24"/>
      <c r="I796" s="24"/>
      <c r="J796" s="24"/>
      <c r="N796" s="6"/>
      <c r="O796" s="6"/>
    </row>
    <row r="797">
      <c r="C797" s="24"/>
      <c r="F797" s="24"/>
      <c r="H797" s="24"/>
      <c r="I797" s="24"/>
      <c r="J797" s="24"/>
      <c r="N797" s="6"/>
      <c r="O797" s="6"/>
    </row>
    <row r="798">
      <c r="C798" s="24"/>
      <c r="F798" s="24"/>
      <c r="H798" s="24"/>
      <c r="I798" s="24"/>
      <c r="J798" s="24"/>
      <c r="N798" s="6"/>
      <c r="O798" s="6"/>
    </row>
    <row r="799">
      <c r="C799" s="24"/>
      <c r="F799" s="24"/>
      <c r="H799" s="24"/>
      <c r="I799" s="24"/>
      <c r="J799" s="24"/>
      <c r="N799" s="6"/>
      <c r="O799" s="6"/>
    </row>
    <row r="800">
      <c r="C800" s="24"/>
      <c r="F800" s="24"/>
      <c r="H800" s="24"/>
      <c r="I800" s="24"/>
      <c r="J800" s="24"/>
      <c r="N800" s="6"/>
      <c r="O800" s="6"/>
    </row>
    <row r="801">
      <c r="C801" s="24"/>
      <c r="F801" s="24"/>
      <c r="H801" s="24"/>
      <c r="I801" s="24"/>
      <c r="J801" s="24"/>
      <c r="N801" s="6"/>
      <c r="O801" s="6"/>
    </row>
    <row r="802">
      <c r="C802" s="24"/>
      <c r="F802" s="24"/>
      <c r="H802" s="24"/>
      <c r="I802" s="24"/>
      <c r="J802" s="24"/>
      <c r="N802" s="6"/>
      <c r="O802" s="6"/>
    </row>
    <row r="803">
      <c r="C803" s="24"/>
      <c r="F803" s="24"/>
      <c r="H803" s="24"/>
      <c r="I803" s="24"/>
      <c r="J803" s="24"/>
      <c r="N803" s="6"/>
      <c r="O803" s="6"/>
    </row>
    <row r="804">
      <c r="C804" s="24"/>
      <c r="F804" s="24"/>
      <c r="H804" s="24"/>
      <c r="I804" s="24"/>
      <c r="J804" s="24"/>
      <c r="N804" s="6"/>
      <c r="O804" s="6"/>
    </row>
    <row r="805">
      <c r="C805" s="24"/>
      <c r="F805" s="24"/>
      <c r="H805" s="24"/>
      <c r="I805" s="24"/>
      <c r="J805" s="24"/>
      <c r="N805" s="6"/>
      <c r="O805" s="6"/>
    </row>
    <row r="806">
      <c r="C806" s="24"/>
      <c r="F806" s="24"/>
      <c r="H806" s="24"/>
      <c r="I806" s="24"/>
      <c r="J806" s="24"/>
      <c r="N806" s="6"/>
      <c r="O806" s="6"/>
    </row>
    <row r="807">
      <c r="C807" s="24"/>
      <c r="F807" s="24"/>
      <c r="H807" s="24"/>
      <c r="I807" s="24"/>
      <c r="J807" s="24"/>
      <c r="N807" s="6"/>
      <c r="O807" s="6"/>
    </row>
    <row r="808">
      <c r="C808" s="24"/>
      <c r="F808" s="24"/>
      <c r="H808" s="24"/>
      <c r="I808" s="24"/>
      <c r="J808" s="24"/>
      <c r="N808" s="6"/>
      <c r="O808" s="6"/>
    </row>
    <row r="809">
      <c r="C809" s="24"/>
      <c r="F809" s="24"/>
      <c r="H809" s="24"/>
      <c r="I809" s="24"/>
      <c r="J809" s="24"/>
      <c r="N809" s="6"/>
      <c r="O809" s="6"/>
    </row>
    <row r="810">
      <c r="C810" s="24"/>
      <c r="F810" s="24"/>
      <c r="H810" s="24"/>
      <c r="I810" s="24"/>
      <c r="J810" s="24"/>
      <c r="N810" s="6"/>
      <c r="O810" s="6"/>
    </row>
    <row r="811">
      <c r="C811" s="24"/>
      <c r="F811" s="24"/>
      <c r="H811" s="24"/>
      <c r="I811" s="24"/>
      <c r="J811" s="24"/>
      <c r="N811" s="6"/>
      <c r="O811" s="6"/>
    </row>
    <row r="812">
      <c r="C812" s="24"/>
      <c r="F812" s="24"/>
      <c r="H812" s="24"/>
      <c r="I812" s="24"/>
      <c r="J812" s="24"/>
      <c r="N812" s="6"/>
      <c r="O812" s="6"/>
    </row>
    <row r="813">
      <c r="C813" s="24"/>
      <c r="F813" s="24"/>
      <c r="H813" s="24"/>
      <c r="I813" s="24"/>
      <c r="J813" s="24"/>
      <c r="N813" s="6"/>
      <c r="O813" s="6"/>
    </row>
    <row r="814">
      <c r="C814" s="24"/>
      <c r="F814" s="24"/>
      <c r="H814" s="24"/>
      <c r="I814" s="24"/>
      <c r="J814" s="24"/>
      <c r="N814" s="6"/>
      <c r="O814" s="6"/>
    </row>
    <row r="815">
      <c r="C815" s="24"/>
      <c r="F815" s="24"/>
      <c r="H815" s="24"/>
      <c r="I815" s="24"/>
      <c r="J815" s="24"/>
      <c r="N815" s="6"/>
      <c r="O815" s="6"/>
    </row>
    <row r="816">
      <c r="C816" s="24"/>
      <c r="F816" s="24"/>
      <c r="H816" s="24"/>
      <c r="I816" s="24"/>
      <c r="J816" s="24"/>
      <c r="N816" s="6"/>
      <c r="O816" s="6"/>
    </row>
    <row r="817">
      <c r="C817" s="24"/>
      <c r="F817" s="24"/>
      <c r="H817" s="24"/>
      <c r="I817" s="24"/>
      <c r="J817" s="24"/>
      <c r="N817" s="6"/>
      <c r="O817" s="6"/>
    </row>
    <row r="818">
      <c r="C818" s="24"/>
      <c r="F818" s="24"/>
      <c r="H818" s="24"/>
      <c r="I818" s="24"/>
      <c r="J818" s="24"/>
      <c r="N818" s="6"/>
      <c r="O818" s="6"/>
    </row>
    <row r="819">
      <c r="C819" s="24"/>
      <c r="F819" s="24"/>
      <c r="H819" s="24"/>
      <c r="I819" s="24"/>
      <c r="J819" s="24"/>
      <c r="N819" s="6"/>
      <c r="O819" s="6"/>
    </row>
    <row r="820">
      <c r="C820" s="24"/>
      <c r="F820" s="24"/>
      <c r="H820" s="24"/>
      <c r="I820" s="24"/>
      <c r="J820" s="24"/>
      <c r="N820" s="6"/>
      <c r="O820" s="6"/>
    </row>
    <row r="821">
      <c r="C821" s="24"/>
      <c r="F821" s="24"/>
      <c r="H821" s="24"/>
      <c r="I821" s="24"/>
      <c r="J821" s="24"/>
      <c r="N821" s="6"/>
      <c r="O821" s="6"/>
    </row>
    <row r="822">
      <c r="C822" s="24"/>
      <c r="F822" s="24"/>
      <c r="H822" s="24"/>
      <c r="I822" s="24"/>
      <c r="J822" s="24"/>
      <c r="N822" s="6"/>
      <c r="O822" s="6"/>
    </row>
    <row r="823">
      <c r="C823" s="24"/>
      <c r="F823" s="24"/>
      <c r="H823" s="24"/>
      <c r="I823" s="24"/>
      <c r="J823" s="24"/>
      <c r="N823" s="6"/>
      <c r="O823" s="6"/>
    </row>
    <row r="824">
      <c r="C824" s="24"/>
      <c r="F824" s="24"/>
      <c r="H824" s="24"/>
      <c r="I824" s="24"/>
      <c r="J824" s="24"/>
      <c r="N824" s="6"/>
      <c r="O824" s="6"/>
    </row>
    <row r="825">
      <c r="C825" s="24"/>
      <c r="F825" s="24"/>
      <c r="H825" s="24"/>
      <c r="I825" s="24"/>
      <c r="J825" s="24"/>
      <c r="N825" s="6"/>
      <c r="O825" s="6"/>
    </row>
    <row r="826">
      <c r="C826" s="24"/>
      <c r="F826" s="24"/>
      <c r="H826" s="24"/>
      <c r="I826" s="24"/>
      <c r="J826" s="24"/>
      <c r="N826" s="6"/>
      <c r="O826" s="6"/>
    </row>
    <row r="827">
      <c r="C827" s="24"/>
      <c r="F827" s="24"/>
      <c r="H827" s="24"/>
      <c r="I827" s="24"/>
      <c r="J827" s="24"/>
      <c r="N827" s="6"/>
      <c r="O827" s="6"/>
    </row>
    <row r="828">
      <c r="C828" s="24"/>
      <c r="F828" s="24"/>
      <c r="H828" s="24"/>
      <c r="I828" s="24"/>
      <c r="J828" s="24"/>
      <c r="N828" s="6"/>
      <c r="O828" s="6"/>
    </row>
    <row r="829">
      <c r="C829" s="24"/>
      <c r="F829" s="24"/>
      <c r="H829" s="24"/>
      <c r="I829" s="24"/>
      <c r="J829" s="24"/>
      <c r="N829" s="6"/>
      <c r="O829" s="6"/>
    </row>
    <row r="830">
      <c r="C830" s="24"/>
      <c r="F830" s="24"/>
      <c r="H830" s="24"/>
      <c r="I830" s="24"/>
      <c r="J830" s="24"/>
      <c r="N830" s="6"/>
      <c r="O830" s="6"/>
    </row>
    <row r="831">
      <c r="C831" s="24"/>
      <c r="F831" s="24"/>
      <c r="H831" s="24"/>
      <c r="I831" s="24"/>
      <c r="J831" s="24"/>
      <c r="N831" s="6"/>
      <c r="O831" s="6"/>
    </row>
    <row r="832">
      <c r="C832" s="24"/>
      <c r="F832" s="24"/>
      <c r="H832" s="24"/>
      <c r="I832" s="24"/>
      <c r="J832" s="24"/>
      <c r="N832" s="6"/>
      <c r="O832" s="6"/>
    </row>
    <row r="833">
      <c r="C833" s="24"/>
      <c r="F833" s="24"/>
      <c r="H833" s="24"/>
      <c r="I833" s="24"/>
      <c r="J833" s="24"/>
      <c r="N833" s="6"/>
      <c r="O833" s="6"/>
    </row>
    <row r="834">
      <c r="C834" s="24"/>
      <c r="F834" s="24"/>
      <c r="H834" s="24"/>
      <c r="I834" s="24"/>
      <c r="J834" s="24"/>
      <c r="N834" s="6"/>
      <c r="O834" s="6"/>
    </row>
    <row r="835">
      <c r="C835" s="24"/>
      <c r="F835" s="24"/>
      <c r="H835" s="24"/>
      <c r="I835" s="24"/>
      <c r="J835" s="24"/>
      <c r="N835" s="6"/>
      <c r="O835" s="6"/>
    </row>
    <row r="836">
      <c r="C836" s="24"/>
      <c r="F836" s="24"/>
      <c r="H836" s="24"/>
      <c r="I836" s="24"/>
      <c r="J836" s="24"/>
      <c r="N836" s="6"/>
      <c r="O836" s="6"/>
    </row>
    <row r="837">
      <c r="C837" s="24"/>
      <c r="F837" s="24"/>
      <c r="H837" s="24"/>
      <c r="I837" s="24"/>
      <c r="J837" s="24"/>
      <c r="N837" s="6"/>
      <c r="O837" s="6"/>
    </row>
    <row r="838">
      <c r="C838" s="24"/>
      <c r="F838" s="24"/>
      <c r="H838" s="24"/>
      <c r="I838" s="24"/>
      <c r="J838" s="24"/>
      <c r="N838" s="6"/>
      <c r="O838" s="6"/>
    </row>
    <row r="839">
      <c r="C839" s="24"/>
      <c r="F839" s="24"/>
      <c r="H839" s="24"/>
      <c r="I839" s="24"/>
      <c r="J839" s="24"/>
      <c r="N839" s="6"/>
      <c r="O839" s="6"/>
    </row>
    <row r="840">
      <c r="C840" s="24"/>
      <c r="F840" s="24"/>
      <c r="H840" s="24"/>
      <c r="I840" s="24"/>
      <c r="J840" s="24"/>
      <c r="N840" s="6"/>
      <c r="O840" s="6"/>
    </row>
    <row r="841">
      <c r="C841" s="24"/>
      <c r="F841" s="24"/>
      <c r="H841" s="24"/>
      <c r="I841" s="24"/>
      <c r="J841" s="24"/>
      <c r="N841" s="6"/>
      <c r="O841" s="6"/>
    </row>
    <row r="842">
      <c r="C842" s="24"/>
      <c r="F842" s="24"/>
      <c r="H842" s="24"/>
      <c r="I842" s="24"/>
      <c r="J842" s="24"/>
      <c r="N842" s="6"/>
      <c r="O842" s="6"/>
    </row>
    <row r="843">
      <c r="C843" s="24"/>
      <c r="F843" s="24"/>
      <c r="H843" s="24"/>
      <c r="I843" s="24"/>
      <c r="J843" s="24"/>
      <c r="N843" s="6"/>
      <c r="O843" s="6"/>
    </row>
    <row r="844">
      <c r="C844" s="24"/>
      <c r="F844" s="24"/>
      <c r="H844" s="24"/>
      <c r="I844" s="24"/>
      <c r="J844" s="24"/>
      <c r="N844" s="6"/>
      <c r="O844" s="6"/>
    </row>
    <row r="845">
      <c r="C845" s="24"/>
      <c r="F845" s="24"/>
      <c r="H845" s="24"/>
      <c r="I845" s="24"/>
      <c r="J845" s="24"/>
      <c r="N845" s="6"/>
      <c r="O845" s="6"/>
    </row>
    <row r="846">
      <c r="C846" s="24"/>
      <c r="F846" s="24"/>
      <c r="H846" s="24"/>
      <c r="I846" s="24"/>
      <c r="J846" s="24"/>
      <c r="N846" s="6"/>
      <c r="O846" s="6"/>
    </row>
    <row r="847">
      <c r="C847" s="24"/>
      <c r="F847" s="24"/>
      <c r="H847" s="24"/>
      <c r="I847" s="24"/>
      <c r="J847" s="24"/>
      <c r="N847" s="6"/>
      <c r="O847" s="6"/>
    </row>
    <row r="848">
      <c r="C848" s="24"/>
      <c r="F848" s="24"/>
      <c r="H848" s="24"/>
      <c r="I848" s="24"/>
      <c r="J848" s="24"/>
      <c r="N848" s="6"/>
      <c r="O848" s="6"/>
    </row>
    <row r="849">
      <c r="C849" s="24"/>
      <c r="F849" s="24"/>
      <c r="H849" s="24"/>
      <c r="I849" s="24"/>
      <c r="J849" s="24"/>
      <c r="N849" s="6"/>
      <c r="O849" s="6"/>
    </row>
    <row r="850">
      <c r="C850" s="24"/>
      <c r="F850" s="24"/>
      <c r="H850" s="24"/>
      <c r="I850" s="24"/>
      <c r="J850" s="24"/>
      <c r="N850" s="6"/>
      <c r="O850" s="6"/>
    </row>
    <row r="851">
      <c r="C851" s="24"/>
      <c r="F851" s="24"/>
      <c r="H851" s="24"/>
      <c r="I851" s="24"/>
      <c r="J851" s="24"/>
      <c r="N851" s="6"/>
      <c r="O851" s="6"/>
    </row>
    <row r="852">
      <c r="C852" s="24"/>
      <c r="F852" s="24"/>
      <c r="H852" s="24"/>
      <c r="I852" s="24"/>
      <c r="J852" s="24"/>
      <c r="N852" s="6"/>
      <c r="O852" s="6"/>
    </row>
    <row r="853">
      <c r="C853" s="24"/>
      <c r="F853" s="24"/>
      <c r="H853" s="24"/>
      <c r="I853" s="24"/>
      <c r="J853" s="24"/>
      <c r="N853" s="6"/>
      <c r="O853" s="6"/>
    </row>
    <row r="854">
      <c r="C854" s="24"/>
      <c r="F854" s="24"/>
      <c r="H854" s="24"/>
      <c r="I854" s="24"/>
      <c r="J854" s="24"/>
      <c r="N854" s="6"/>
      <c r="O854" s="6"/>
    </row>
    <row r="855">
      <c r="C855" s="24"/>
      <c r="F855" s="24"/>
      <c r="H855" s="24"/>
      <c r="I855" s="24"/>
      <c r="J855" s="24"/>
      <c r="N855" s="6"/>
      <c r="O855" s="6"/>
    </row>
    <row r="856">
      <c r="C856" s="24"/>
      <c r="F856" s="24"/>
      <c r="H856" s="24"/>
      <c r="I856" s="24"/>
      <c r="J856" s="24"/>
      <c r="N856" s="6"/>
      <c r="O856" s="6"/>
    </row>
    <row r="857">
      <c r="C857" s="24"/>
      <c r="F857" s="24"/>
      <c r="H857" s="24"/>
      <c r="I857" s="24"/>
      <c r="J857" s="24"/>
      <c r="N857" s="6"/>
      <c r="O857" s="6"/>
    </row>
    <row r="858">
      <c r="C858" s="24"/>
      <c r="F858" s="24"/>
      <c r="H858" s="24"/>
      <c r="I858" s="24"/>
      <c r="J858" s="24"/>
      <c r="N858" s="6"/>
      <c r="O858" s="6"/>
    </row>
    <row r="859">
      <c r="C859" s="24"/>
      <c r="F859" s="24"/>
      <c r="H859" s="24"/>
      <c r="I859" s="24"/>
      <c r="J859" s="24"/>
      <c r="N859" s="6"/>
      <c r="O859" s="6"/>
    </row>
    <row r="860">
      <c r="C860" s="24"/>
      <c r="F860" s="24"/>
      <c r="H860" s="24"/>
      <c r="I860" s="24"/>
      <c r="J860" s="24"/>
      <c r="N860" s="6"/>
      <c r="O860" s="6"/>
    </row>
    <row r="861">
      <c r="C861" s="24"/>
      <c r="F861" s="24"/>
      <c r="H861" s="24"/>
      <c r="I861" s="24"/>
      <c r="J861" s="24"/>
      <c r="N861" s="6"/>
      <c r="O861" s="6"/>
    </row>
    <row r="862">
      <c r="C862" s="24"/>
      <c r="F862" s="24"/>
      <c r="H862" s="24"/>
      <c r="I862" s="24"/>
      <c r="J862" s="24"/>
      <c r="N862" s="6"/>
      <c r="O862" s="6"/>
    </row>
    <row r="863">
      <c r="C863" s="24"/>
      <c r="F863" s="24"/>
      <c r="H863" s="24"/>
      <c r="I863" s="24"/>
      <c r="J863" s="24"/>
      <c r="N863" s="6"/>
      <c r="O863" s="6"/>
    </row>
    <row r="864">
      <c r="C864" s="24"/>
      <c r="F864" s="24"/>
      <c r="H864" s="24"/>
      <c r="I864" s="24"/>
      <c r="J864" s="24"/>
      <c r="N864" s="6"/>
      <c r="O864" s="6"/>
    </row>
    <row r="865">
      <c r="C865" s="24"/>
      <c r="F865" s="24"/>
      <c r="H865" s="24"/>
      <c r="I865" s="24"/>
      <c r="J865" s="24"/>
      <c r="N865" s="6"/>
      <c r="O865" s="6"/>
    </row>
    <row r="866">
      <c r="C866" s="24"/>
      <c r="F866" s="24"/>
      <c r="H866" s="24"/>
      <c r="I866" s="24"/>
      <c r="J866" s="24"/>
      <c r="N866" s="6"/>
      <c r="O866" s="6"/>
    </row>
    <row r="867">
      <c r="C867" s="24"/>
      <c r="F867" s="24"/>
      <c r="H867" s="24"/>
      <c r="I867" s="24"/>
      <c r="J867" s="24"/>
      <c r="N867" s="6"/>
      <c r="O867" s="6"/>
    </row>
    <row r="868">
      <c r="C868" s="24"/>
      <c r="F868" s="24"/>
      <c r="H868" s="24"/>
      <c r="I868" s="24"/>
      <c r="J868" s="24"/>
      <c r="N868" s="6"/>
      <c r="O868" s="6"/>
    </row>
    <row r="869">
      <c r="C869" s="24"/>
      <c r="F869" s="24"/>
      <c r="H869" s="24"/>
      <c r="I869" s="24"/>
      <c r="J869" s="24"/>
      <c r="N869" s="6"/>
      <c r="O869" s="6"/>
    </row>
    <row r="870">
      <c r="C870" s="24"/>
      <c r="F870" s="24"/>
      <c r="H870" s="24"/>
      <c r="I870" s="24"/>
      <c r="J870" s="24"/>
      <c r="N870" s="6"/>
      <c r="O870" s="6"/>
    </row>
    <row r="871">
      <c r="C871" s="24"/>
      <c r="F871" s="24"/>
      <c r="H871" s="24"/>
      <c r="I871" s="24"/>
      <c r="J871" s="24"/>
      <c r="N871" s="6"/>
      <c r="O871" s="6"/>
    </row>
    <row r="872">
      <c r="C872" s="24"/>
      <c r="F872" s="24"/>
      <c r="H872" s="24"/>
      <c r="I872" s="24"/>
      <c r="J872" s="24"/>
      <c r="N872" s="6"/>
      <c r="O872" s="6"/>
    </row>
    <row r="873">
      <c r="C873" s="24"/>
      <c r="F873" s="24"/>
      <c r="H873" s="24"/>
      <c r="I873" s="24"/>
      <c r="J873" s="24"/>
      <c r="N873" s="6"/>
      <c r="O873" s="6"/>
    </row>
    <row r="874">
      <c r="C874" s="24"/>
      <c r="F874" s="24"/>
      <c r="H874" s="24"/>
      <c r="I874" s="24"/>
      <c r="J874" s="24"/>
      <c r="N874" s="6"/>
      <c r="O874" s="6"/>
    </row>
    <row r="875">
      <c r="C875" s="24"/>
      <c r="F875" s="24"/>
      <c r="H875" s="24"/>
      <c r="I875" s="24"/>
      <c r="J875" s="24"/>
      <c r="N875" s="6"/>
      <c r="O875" s="6"/>
    </row>
    <row r="876">
      <c r="C876" s="24"/>
      <c r="F876" s="24"/>
      <c r="H876" s="24"/>
      <c r="I876" s="24"/>
      <c r="J876" s="24"/>
      <c r="N876" s="6"/>
      <c r="O876" s="6"/>
    </row>
    <row r="877">
      <c r="C877" s="24"/>
      <c r="F877" s="24"/>
      <c r="H877" s="24"/>
      <c r="I877" s="24"/>
      <c r="J877" s="24"/>
      <c r="N877" s="6"/>
      <c r="O877" s="6"/>
    </row>
    <row r="878">
      <c r="C878" s="24"/>
      <c r="F878" s="24"/>
      <c r="H878" s="24"/>
      <c r="I878" s="24"/>
      <c r="J878" s="24"/>
      <c r="N878" s="6"/>
      <c r="O878" s="6"/>
    </row>
    <row r="879">
      <c r="C879" s="24"/>
      <c r="F879" s="24"/>
      <c r="H879" s="24"/>
      <c r="I879" s="24"/>
      <c r="J879" s="24"/>
      <c r="N879" s="6"/>
      <c r="O879" s="6"/>
    </row>
    <row r="880">
      <c r="C880" s="24"/>
      <c r="F880" s="24"/>
      <c r="H880" s="24"/>
      <c r="I880" s="24"/>
      <c r="J880" s="24"/>
      <c r="N880" s="6"/>
      <c r="O880" s="6"/>
    </row>
    <row r="881">
      <c r="C881" s="24"/>
      <c r="F881" s="24"/>
      <c r="H881" s="24"/>
      <c r="I881" s="24"/>
      <c r="J881" s="24"/>
      <c r="N881" s="6"/>
      <c r="O881" s="6"/>
    </row>
    <row r="882">
      <c r="C882" s="24"/>
      <c r="F882" s="24"/>
      <c r="H882" s="24"/>
      <c r="I882" s="24"/>
      <c r="J882" s="24"/>
      <c r="N882" s="6"/>
      <c r="O882" s="6"/>
    </row>
    <row r="883">
      <c r="C883" s="24"/>
      <c r="F883" s="24"/>
      <c r="H883" s="24"/>
      <c r="I883" s="24"/>
      <c r="J883" s="24"/>
      <c r="N883" s="6"/>
      <c r="O883" s="6"/>
    </row>
    <row r="884">
      <c r="C884" s="24"/>
      <c r="F884" s="24"/>
      <c r="H884" s="24"/>
      <c r="I884" s="24"/>
      <c r="J884" s="24"/>
      <c r="N884" s="6"/>
      <c r="O884" s="6"/>
    </row>
    <row r="885">
      <c r="C885" s="24"/>
      <c r="F885" s="24"/>
      <c r="H885" s="24"/>
      <c r="I885" s="24"/>
      <c r="J885" s="24"/>
      <c r="N885" s="6"/>
      <c r="O885" s="6"/>
    </row>
    <row r="886">
      <c r="C886" s="24"/>
      <c r="F886" s="24"/>
      <c r="H886" s="24"/>
      <c r="I886" s="24"/>
      <c r="J886" s="24"/>
      <c r="N886" s="6"/>
      <c r="O886" s="6"/>
    </row>
    <row r="887">
      <c r="C887" s="24"/>
      <c r="F887" s="24"/>
      <c r="H887" s="24"/>
      <c r="I887" s="24"/>
      <c r="J887" s="24"/>
      <c r="N887" s="6"/>
      <c r="O887" s="6"/>
    </row>
    <row r="888">
      <c r="C888" s="24"/>
      <c r="F888" s="24"/>
      <c r="H888" s="24"/>
      <c r="I888" s="24"/>
      <c r="J888" s="24"/>
      <c r="N888" s="6"/>
      <c r="O888" s="6"/>
    </row>
    <row r="889">
      <c r="C889" s="24"/>
      <c r="F889" s="24"/>
      <c r="H889" s="24"/>
      <c r="I889" s="24"/>
      <c r="J889" s="24"/>
      <c r="N889" s="6"/>
      <c r="O889" s="6"/>
    </row>
    <row r="890">
      <c r="C890" s="24"/>
      <c r="F890" s="24"/>
      <c r="H890" s="24"/>
      <c r="I890" s="24"/>
      <c r="J890" s="24"/>
      <c r="N890" s="6"/>
      <c r="O890" s="6"/>
    </row>
    <row r="891">
      <c r="C891" s="24"/>
      <c r="F891" s="24"/>
      <c r="H891" s="24"/>
      <c r="I891" s="24"/>
      <c r="J891" s="24"/>
      <c r="N891" s="6"/>
      <c r="O891" s="6"/>
    </row>
    <row r="892">
      <c r="C892" s="24"/>
      <c r="F892" s="24"/>
      <c r="H892" s="24"/>
      <c r="I892" s="24"/>
      <c r="J892" s="24"/>
      <c r="N892" s="6"/>
      <c r="O892" s="6"/>
    </row>
    <row r="893">
      <c r="C893" s="24"/>
      <c r="F893" s="24"/>
      <c r="H893" s="24"/>
      <c r="I893" s="24"/>
      <c r="J893" s="24"/>
      <c r="N893" s="6"/>
      <c r="O893" s="6"/>
    </row>
    <row r="894">
      <c r="C894" s="24"/>
      <c r="F894" s="24"/>
      <c r="H894" s="24"/>
      <c r="I894" s="24"/>
      <c r="J894" s="24"/>
      <c r="N894" s="6"/>
      <c r="O894" s="6"/>
    </row>
    <row r="895">
      <c r="C895" s="24"/>
      <c r="F895" s="24"/>
      <c r="H895" s="24"/>
      <c r="I895" s="24"/>
      <c r="J895" s="24"/>
      <c r="N895" s="6"/>
      <c r="O895" s="6"/>
    </row>
    <row r="896">
      <c r="C896" s="24"/>
      <c r="F896" s="24"/>
      <c r="H896" s="24"/>
      <c r="I896" s="24"/>
      <c r="J896" s="24"/>
      <c r="N896" s="6"/>
      <c r="O896" s="6"/>
    </row>
    <row r="897">
      <c r="C897" s="24"/>
      <c r="F897" s="24"/>
      <c r="H897" s="24"/>
      <c r="I897" s="24"/>
      <c r="J897" s="24"/>
      <c r="N897" s="6"/>
      <c r="O897" s="6"/>
    </row>
    <row r="898">
      <c r="C898" s="24"/>
      <c r="F898" s="24"/>
      <c r="H898" s="24"/>
      <c r="I898" s="24"/>
      <c r="J898" s="24"/>
      <c r="N898" s="6"/>
      <c r="O898" s="6"/>
    </row>
    <row r="899">
      <c r="C899" s="24"/>
      <c r="F899" s="24"/>
      <c r="H899" s="24"/>
      <c r="I899" s="24"/>
      <c r="J899" s="24"/>
      <c r="N899" s="6"/>
      <c r="O899" s="6"/>
    </row>
    <row r="900">
      <c r="C900" s="24"/>
      <c r="F900" s="24"/>
      <c r="H900" s="24"/>
      <c r="I900" s="24"/>
      <c r="J900" s="24"/>
      <c r="N900" s="6"/>
      <c r="O900" s="6"/>
    </row>
    <row r="901">
      <c r="C901" s="24"/>
      <c r="F901" s="24"/>
      <c r="H901" s="24"/>
      <c r="I901" s="24"/>
      <c r="J901" s="24"/>
      <c r="N901" s="6"/>
      <c r="O901" s="6"/>
    </row>
    <row r="902">
      <c r="C902" s="24"/>
      <c r="F902" s="24"/>
      <c r="H902" s="24"/>
      <c r="I902" s="24"/>
      <c r="J902" s="24"/>
      <c r="N902" s="6"/>
      <c r="O902" s="6"/>
    </row>
    <row r="903">
      <c r="C903" s="24"/>
      <c r="F903" s="24"/>
      <c r="H903" s="24"/>
      <c r="I903" s="24"/>
      <c r="J903" s="24"/>
      <c r="N903" s="6"/>
      <c r="O903" s="6"/>
    </row>
    <row r="904">
      <c r="C904" s="24"/>
      <c r="F904" s="24"/>
      <c r="H904" s="24"/>
      <c r="I904" s="24"/>
      <c r="J904" s="24"/>
      <c r="N904" s="6"/>
      <c r="O904" s="6"/>
    </row>
    <row r="905">
      <c r="C905" s="24"/>
      <c r="F905" s="24"/>
      <c r="H905" s="24"/>
      <c r="I905" s="24"/>
      <c r="J905" s="24"/>
      <c r="N905" s="6"/>
      <c r="O905" s="6"/>
    </row>
    <row r="906">
      <c r="C906" s="24"/>
      <c r="F906" s="24"/>
      <c r="H906" s="24"/>
      <c r="I906" s="24"/>
      <c r="J906" s="24"/>
      <c r="N906" s="6"/>
      <c r="O906" s="6"/>
    </row>
    <row r="907">
      <c r="C907" s="24"/>
      <c r="F907" s="24"/>
      <c r="H907" s="24"/>
      <c r="I907" s="24"/>
      <c r="J907" s="24"/>
      <c r="N907" s="6"/>
      <c r="O907" s="6"/>
    </row>
    <row r="908">
      <c r="C908" s="24"/>
      <c r="F908" s="24"/>
      <c r="H908" s="24"/>
      <c r="I908" s="24"/>
      <c r="J908" s="24"/>
      <c r="N908" s="6"/>
      <c r="O908" s="6"/>
    </row>
    <row r="909">
      <c r="C909" s="24"/>
      <c r="F909" s="24"/>
      <c r="H909" s="24"/>
      <c r="I909" s="24"/>
      <c r="J909" s="24"/>
      <c r="N909" s="6"/>
      <c r="O909" s="6"/>
    </row>
    <row r="910">
      <c r="C910" s="24"/>
      <c r="F910" s="24"/>
      <c r="H910" s="24"/>
      <c r="I910" s="24"/>
      <c r="J910" s="24"/>
      <c r="N910" s="6"/>
      <c r="O910" s="6"/>
    </row>
    <row r="911">
      <c r="C911" s="24"/>
      <c r="F911" s="24"/>
      <c r="H911" s="24"/>
      <c r="I911" s="24"/>
      <c r="J911" s="24"/>
      <c r="N911" s="6"/>
      <c r="O911" s="6"/>
    </row>
    <row r="912">
      <c r="C912" s="24"/>
      <c r="F912" s="24"/>
      <c r="H912" s="24"/>
      <c r="I912" s="24"/>
      <c r="J912" s="24"/>
      <c r="N912" s="6"/>
      <c r="O912" s="6"/>
    </row>
    <row r="913">
      <c r="C913" s="24"/>
      <c r="F913" s="24"/>
      <c r="H913" s="24"/>
      <c r="I913" s="24"/>
      <c r="J913" s="24"/>
      <c r="N913" s="6"/>
      <c r="O913" s="6"/>
    </row>
    <row r="914">
      <c r="C914" s="24"/>
      <c r="F914" s="24"/>
      <c r="H914" s="24"/>
      <c r="I914" s="24"/>
      <c r="J914" s="24"/>
      <c r="N914" s="6"/>
      <c r="O914" s="6"/>
    </row>
    <row r="915">
      <c r="C915" s="24"/>
      <c r="F915" s="24"/>
      <c r="H915" s="24"/>
      <c r="I915" s="24"/>
      <c r="J915" s="24"/>
      <c r="N915" s="6"/>
      <c r="O915" s="6"/>
    </row>
    <row r="916">
      <c r="C916" s="24"/>
      <c r="F916" s="24"/>
      <c r="H916" s="24"/>
      <c r="I916" s="24"/>
      <c r="J916" s="24"/>
      <c r="N916" s="6"/>
      <c r="O916" s="6"/>
    </row>
    <row r="917">
      <c r="C917" s="24"/>
      <c r="F917" s="24"/>
      <c r="H917" s="24"/>
      <c r="I917" s="24"/>
      <c r="J917" s="24"/>
      <c r="N917" s="6"/>
      <c r="O917" s="6"/>
    </row>
    <row r="918">
      <c r="C918" s="24"/>
      <c r="F918" s="24"/>
      <c r="H918" s="24"/>
      <c r="I918" s="24"/>
      <c r="J918" s="24"/>
      <c r="N918" s="6"/>
      <c r="O918" s="6"/>
    </row>
    <row r="919">
      <c r="C919" s="24"/>
      <c r="F919" s="24"/>
      <c r="H919" s="24"/>
      <c r="I919" s="24"/>
      <c r="J919" s="24"/>
      <c r="N919" s="6"/>
      <c r="O919" s="6"/>
    </row>
    <row r="920">
      <c r="C920" s="24"/>
      <c r="F920" s="24"/>
      <c r="H920" s="24"/>
      <c r="I920" s="24"/>
      <c r="J920" s="24"/>
      <c r="N920" s="6"/>
      <c r="O920" s="6"/>
    </row>
    <row r="921">
      <c r="C921" s="24"/>
      <c r="F921" s="24"/>
      <c r="H921" s="24"/>
      <c r="I921" s="24"/>
      <c r="J921" s="24"/>
      <c r="N921" s="6"/>
      <c r="O921" s="6"/>
    </row>
    <row r="922">
      <c r="C922" s="24"/>
      <c r="F922" s="24"/>
      <c r="H922" s="24"/>
      <c r="I922" s="24"/>
      <c r="J922" s="24"/>
      <c r="N922" s="6"/>
      <c r="O922" s="6"/>
    </row>
    <row r="923">
      <c r="C923" s="24"/>
      <c r="F923" s="24"/>
      <c r="H923" s="24"/>
      <c r="I923" s="24"/>
      <c r="J923" s="24"/>
      <c r="N923" s="6"/>
      <c r="O923" s="6"/>
    </row>
    <row r="924">
      <c r="C924" s="24"/>
      <c r="F924" s="24"/>
      <c r="H924" s="24"/>
      <c r="I924" s="24"/>
      <c r="J924" s="24"/>
      <c r="N924" s="6"/>
      <c r="O924" s="6"/>
    </row>
    <row r="925">
      <c r="C925" s="24"/>
      <c r="F925" s="24"/>
      <c r="H925" s="24"/>
      <c r="I925" s="24"/>
      <c r="J925" s="24"/>
      <c r="N925" s="6"/>
      <c r="O925" s="6"/>
    </row>
    <row r="926">
      <c r="C926" s="24"/>
      <c r="F926" s="24"/>
      <c r="H926" s="24"/>
      <c r="I926" s="24"/>
      <c r="J926" s="24"/>
      <c r="N926" s="6"/>
      <c r="O926" s="6"/>
    </row>
    <row r="927">
      <c r="C927" s="24"/>
      <c r="F927" s="24"/>
      <c r="H927" s="24"/>
      <c r="I927" s="24"/>
      <c r="J927" s="24"/>
      <c r="N927" s="6"/>
      <c r="O927" s="6"/>
    </row>
    <row r="928">
      <c r="C928" s="24"/>
      <c r="F928" s="24"/>
      <c r="H928" s="24"/>
      <c r="I928" s="24"/>
      <c r="J928" s="24"/>
      <c r="N928" s="6"/>
      <c r="O928" s="6"/>
    </row>
    <row r="929">
      <c r="C929" s="24"/>
      <c r="F929" s="24"/>
      <c r="H929" s="24"/>
      <c r="I929" s="24"/>
      <c r="J929" s="24"/>
      <c r="N929" s="6"/>
      <c r="O929" s="6"/>
    </row>
    <row r="930">
      <c r="C930" s="24"/>
      <c r="F930" s="24"/>
      <c r="H930" s="24"/>
      <c r="I930" s="24"/>
      <c r="J930" s="24"/>
      <c r="N930" s="6"/>
      <c r="O930" s="6"/>
    </row>
    <row r="931">
      <c r="C931" s="24"/>
      <c r="F931" s="24"/>
      <c r="H931" s="24"/>
      <c r="I931" s="24"/>
      <c r="J931" s="24"/>
      <c r="N931" s="6"/>
      <c r="O931" s="6"/>
    </row>
    <row r="932">
      <c r="C932" s="24"/>
      <c r="F932" s="24"/>
      <c r="H932" s="24"/>
      <c r="I932" s="24"/>
      <c r="J932" s="24"/>
      <c r="N932" s="6"/>
      <c r="O932" s="6"/>
    </row>
    <row r="933">
      <c r="C933" s="24"/>
      <c r="F933" s="24"/>
      <c r="H933" s="24"/>
      <c r="I933" s="24"/>
      <c r="J933" s="24"/>
      <c r="N933" s="6"/>
      <c r="O933" s="6"/>
    </row>
    <row r="934">
      <c r="C934" s="24"/>
      <c r="F934" s="24"/>
      <c r="H934" s="24"/>
      <c r="I934" s="24"/>
      <c r="J934" s="24"/>
      <c r="N934" s="6"/>
      <c r="O934" s="6"/>
    </row>
    <row r="935">
      <c r="C935" s="24"/>
      <c r="F935" s="24"/>
      <c r="H935" s="24"/>
      <c r="I935" s="24"/>
      <c r="J935" s="24"/>
      <c r="N935" s="6"/>
      <c r="O935" s="6"/>
    </row>
    <row r="936">
      <c r="C936" s="24"/>
      <c r="F936" s="24"/>
      <c r="H936" s="24"/>
      <c r="I936" s="24"/>
      <c r="J936" s="24"/>
      <c r="N936" s="6"/>
      <c r="O936" s="6"/>
    </row>
    <row r="937">
      <c r="C937" s="24"/>
      <c r="F937" s="24"/>
      <c r="H937" s="24"/>
      <c r="I937" s="24"/>
      <c r="J937" s="24"/>
      <c r="N937" s="6"/>
      <c r="O937" s="6"/>
    </row>
    <row r="938">
      <c r="C938" s="24"/>
      <c r="F938" s="24"/>
      <c r="H938" s="24"/>
      <c r="I938" s="24"/>
      <c r="J938" s="24"/>
      <c r="N938" s="6"/>
      <c r="O938" s="6"/>
    </row>
    <row r="939">
      <c r="C939" s="24"/>
      <c r="F939" s="24"/>
      <c r="H939" s="24"/>
      <c r="I939" s="24"/>
      <c r="J939" s="24"/>
      <c r="N939" s="6"/>
      <c r="O939" s="6"/>
    </row>
    <row r="940">
      <c r="C940" s="24"/>
      <c r="F940" s="24"/>
      <c r="H940" s="24"/>
      <c r="I940" s="24"/>
      <c r="J940" s="24"/>
      <c r="N940" s="6"/>
      <c r="O940" s="6"/>
    </row>
    <row r="941">
      <c r="C941" s="24"/>
      <c r="F941" s="24"/>
      <c r="H941" s="24"/>
      <c r="I941" s="24"/>
      <c r="J941" s="24"/>
      <c r="N941" s="6"/>
      <c r="O941" s="6"/>
    </row>
    <row r="942">
      <c r="C942" s="24"/>
      <c r="F942" s="24"/>
      <c r="H942" s="24"/>
      <c r="I942" s="24"/>
      <c r="J942" s="24"/>
      <c r="N942" s="6"/>
      <c r="O942" s="6"/>
    </row>
    <row r="943">
      <c r="C943" s="24"/>
      <c r="F943" s="24"/>
      <c r="H943" s="24"/>
      <c r="I943" s="24"/>
      <c r="J943" s="24"/>
      <c r="N943" s="6"/>
      <c r="O943" s="6"/>
    </row>
    <row r="944">
      <c r="C944" s="24"/>
      <c r="F944" s="24"/>
      <c r="H944" s="24"/>
      <c r="I944" s="24"/>
      <c r="J944" s="24"/>
      <c r="N944" s="6"/>
      <c r="O944" s="6"/>
    </row>
    <row r="945">
      <c r="C945" s="24"/>
      <c r="F945" s="24"/>
      <c r="H945" s="24"/>
      <c r="I945" s="24"/>
      <c r="J945" s="24"/>
      <c r="N945" s="6"/>
      <c r="O945" s="6"/>
    </row>
    <row r="946">
      <c r="C946" s="24"/>
      <c r="F946" s="24"/>
      <c r="H946" s="24"/>
      <c r="I946" s="24"/>
      <c r="J946" s="24"/>
      <c r="N946" s="6"/>
      <c r="O946" s="6"/>
    </row>
    <row r="947">
      <c r="C947" s="24"/>
      <c r="F947" s="24"/>
      <c r="H947" s="24"/>
      <c r="I947" s="24"/>
      <c r="J947" s="24"/>
      <c r="N947" s="6"/>
      <c r="O947" s="6"/>
    </row>
    <row r="948">
      <c r="C948" s="24"/>
      <c r="F948" s="24"/>
      <c r="H948" s="24"/>
      <c r="I948" s="24"/>
      <c r="J948" s="24"/>
      <c r="N948" s="6"/>
      <c r="O948" s="6"/>
    </row>
    <row r="949">
      <c r="C949" s="24"/>
      <c r="F949" s="24"/>
      <c r="H949" s="24"/>
      <c r="I949" s="24"/>
      <c r="J949" s="24"/>
      <c r="N949" s="6"/>
      <c r="O949" s="6"/>
    </row>
    <row r="950">
      <c r="C950" s="24"/>
      <c r="F950" s="24"/>
      <c r="H950" s="24"/>
      <c r="I950" s="24"/>
      <c r="J950" s="24"/>
      <c r="N950" s="6"/>
      <c r="O950" s="6"/>
    </row>
    <row r="951">
      <c r="C951" s="24"/>
      <c r="F951" s="24"/>
      <c r="H951" s="24"/>
      <c r="I951" s="24"/>
      <c r="J951" s="24"/>
      <c r="N951" s="6"/>
      <c r="O951" s="6"/>
    </row>
    <row r="952">
      <c r="C952" s="24"/>
      <c r="F952" s="24"/>
      <c r="H952" s="24"/>
      <c r="I952" s="24"/>
      <c r="J952" s="24"/>
      <c r="N952" s="6"/>
      <c r="O952" s="6"/>
    </row>
    <row r="953">
      <c r="C953" s="24"/>
      <c r="F953" s="24"/>
      <c r="H953" s="24"/>
      <c r="I953" s="24"/>
      <c r="J953" s="24"/>
      <c r="N953" s="6"/>
      <c r="O953" s="6"/>
    </row>
    <row r="954">
      <c r="C954" s="24"/>
      <c r="F954" s="24"/>
      <c r="H954" s="24"/>
      <c r="I954" s="24"/>
      <c r="J954" s="24"/>
      <c r="N954" s="6"/>
      <c r="O954" s="6"/>
    </row>
    <row r="955">
      <c r="C955" s="24"/>
      <c r="F955" s="24"/>
      <c r="H955" s="24"/>
      <c r="I955" s="24"/>
      <c r="J955" s="24"/>
      <c r="N955" s="6"/>
      <c r="O955" s="6"/>
    </row>
    <row r="956">
      <c r="C956" s="24"/>
      <c r="F956" s="24"/>
      <c r="H956" s="24"/>
      <c r="I956" s="24"/>
      <c r="J956" s="24"/>
      <c r="N956" s="6"/>
      <c r="O956" s="6"/>
    </row>
    <row r="957">
      <c r="C957" s="24"/>
      <c r="F957" s="24"/>
      <c r="H957" s="24"/>
      <c r="I957" s="24"/>
      <c r="J957" s="24"/>
      <c r="N957" s="6"/>
      <c r="O957" s="6"/>
    </row>
    <row r="958">
      <c r="C958" s="24"/>
      <c r="F958" s="24"/>
      <c r="H958" s="24"/>
      <c r="I958" s="24"/>
      <c r="J958" s="24"/>
      <c r="N958" s="6"/>
      <c r="O958" s="6"/>
    </row>
    <row r="959">
      <c r="C959" s="24"/>
      <c r="F959" s="24"/>
      <c r="H959" s="24"/>
      <c r="I959" s="24"/>
      <c r="J959" s="24"/>
      <c r="N959" s="6"/>
      <c r="O959" s="6"/>
    </row>
    <row r="960">
      <c r="C960" s="24"/>
      <c r="F960" s="24"/>
      <c r="H960" s="24"/>
      <c r="I960" s="24"/>
      <c r="J960" s="24"/>
      <c r="N960" s="6"/>
      <c r="O960" s="6"/>
    </row>
    <row r="961">
      <c r="C961" s="24"/>
      <c r="F961" s="24"/>
      <c r="H961" s="24"/>
      <c r="I961" s="24"/>
      <c r="J961" s="24"/>
      <c r="N961" s="6"/>
      <c r="O961" s="6"/>
    </row>
    <row r="962">
      <c r="C962" s="24"/>
      <c r="F962" s="24"/>
      <c r="H962" s="24"/>
      <c r="I962" s="24"/>
      <c r="J962" s="24"/>
      <c r="N962" s="6"/>
      <c r="O962" s="6"/>
    </row>
    <row r="963">
      <c r="C963" s="24"/>
      <c r="F963" s="24"/>
      <c r="H963" s="24"/>
      <c r="I963" s="24"/>
      <c r="J963" s="24"/>
      <c r="N963" s="6"/>
      <c r="O963" s="6"/>
    </row>
    <row r="964">
      <c r="C964" s="24"/>
      <c r="F964" s="24"/>
      <c r="H964" s="24"/>
      <c r="I964" s="24"/>
      <c r="J964" s="24"/>
      <c r="N964" s="6"/>
      <c r="O964" s="6"/>
    </row>
    <row r="965">
      <c r="C965" s="24"/>
      <c r="F965" s="24"/>
      <c r="H965" s="24"/>
      <c r="I965" s="24"/>
      <c r="J965" s="24"/>
      <c r="N965" s="6"/>
      <c r="O965" s="6"/>
    </row>
    <row r="966">
      <c r="C966" s="24"/>
      <c r="F966" s="24"/>
      <c r="H966" s="24"/>
      <c r="I966" s="24"/>
      <c r="J966" s="24"/>
      <c r="N966" s="6"/>
      <c r="O966" s="6"/>
    </row>
    <row r="967">
      <c r="C967" s="24"/>
      <c r="F967" s="24"/>
      <c r="H967" s="24"/>
      <c r="I967" s="24"/>
      <c r="J967" s="24"/>
      <c r="N967" s="6"/>
      <c r="O967" s="6"/>
    </row>
    <row r="968">
      <c r="C968" s="24"/>
      <c r="F968" s="24"/>
      <c r="H968" s="24"/>
      <c r="I968" s="24"/>
      <c r="J968" s="24"/>
      <c r="N968" s="6"/>
      <c r="O968" s="6"/>
    </row>
    <row r="969">
      <c r="C969" s="24"/>
      <c r="F969" s="24"/>
      <c r="H969" s="24"/>
      <c r="I969" s="24"/>
      <c r="J969" s="24"/>
      <c r="N969" s="6"/>
      <c r="O969" s="6"/>
    </row>
    <row r="970">
      <c r="C970" s="24"/>
      <c r="F970" s="24"/>
      <c r="H970" s="24"/>
      <c r="I970" s="24"/>
      <c r="J970" s="24"/>
      <c r="N970" s="6"/>
      <c r="O970" s="6"/>
    </row>
    <row r="971">
      <c r="C971" s="24"/>
      <c r="F971" s="24"/>
      <c r="H971" s="24"/>
      <c r="I971" s="24"/>
      <c r="J971" s="24"/>
      <c r="N971" s="6"/>
      <c r="O971" s="6"/>
    </row>
    <row r="972">
      <c r="C972" s="24"/>
      <c r="F972" s="24"/>
      <c r="H972" s="24"/>
      <c r="I972" s="24"/>
      <c r="J972" s="24"/>
      <c r="N972" s="6"/>
      <c r="O972" s="6"/>
    </row>
    <row r="973">
      <c r="C973" s="24"/>
      <c r="F973" s="24"/>
      <c r="H973" s="24"/>
      <c r="I973" s="24"/>
      <c r="J973" s="24"/>
      <c r="N973" s="6"/>
      <c r="O973" s="6"/>
    </row>
    <row r="974">
      <c r="C974" s="24"/>
      <c r="F974" s="24"/>
      <c r="H974" s="24"/>
      <c r="I974" s="24"/>
      <c r="J974" s="24"/>
      <c r="N974" s="6"/>
      <c r="O974" s="6"/>
    </row>
    <row r="975">
      <c r="C975" s="24"/>
      <c r="F975" s="24"/>
      <c r="H975" s="24"/>
      <c r="I975" s="24"/>
      <c r="J975" s="24"/>
      <c r="N975" s="6"/>
      <c r="O975" s="6"/>
    </row>
    <row r="976">
      <c r="C976" s="24"/>
      <c r="F976" s="24"/>
      <c r="H976" s="24"/>
      <c r="I976" s="24"/>
      <c r="J976" s="24"/>
      <c r="N976" s="6"/>
      <c r="O976" s="6"/>
    </row>
    <row r="977">
      <c r="C977" s="24"/>
      <c r="F977" s="24"/>
      <c r="H977" s="24"/>
      <c r="I977" s="24"/>
      <c r="J977" s="24"/>
      <c r="N977" s="6"/>
      <c r="O977" s="6"/>
    </row>
    <row r="978">
      <c r="C978" s="24"/>
      <c r="F978" s="24"/>
      <c r="H978" s="24"/>
      <c r="I978" s="24"/>
      <c r="J978" s="24"/>
      <c r="N978" s="6"/>
      <c r="O978" s="6"/>
    </row>
    <row r="979">
      <c r="C979" s="24"/>
      <c r="F979" s="24"/>
      <c r="H979" s="24"/>
      <c r="I979" s="24"/>
      <c r="J979" s="24"/>
      <c r="N979" s="6"/>
      <c r="O979" s="6"/>
    </row>
    <row r="980">
      <c r="C980" s="24"/>
      <c r="F980" s="24"/>
      <c r="H980" s="24"/>
      <c r="I980" s="24"/>
      <c r="J980" s="24"/>
      <c r="N980" s="6"/>
      <c r="O980" s="6"/>
    </row>
    <row r="981">
      <c r="C981" s="24"/>
      <c r="F981" s="24"/>
      <c r="H981" s="24"/>
      <c r="I981" s="24"/>
      <c r="J981" s="24"/>
      <c r="N981" s="6"/>
      <c r="O981" s="6"/>
    </row>
    <row r="982">
      <c r="C982" s="24"/>
      <c r="F982" s="24"/>
      <c r="H982" s="24"/>
      <c r="I982" s="24"/>
      <c r="J982" s="24"/>
      <c r="N982" s="6"/>
      <c r="O982" s="6"/>
    </row>
    <row r="983">
      <c r="C983" s="24"/>
      <c r="F983" s="24"/>
      <c r="H983" s="24"/>
      <c r="I983" s="24"/>
      <c r="J983" s="24"/>
      <c r="N983" s="6"/>
      <c r="O983" s="6"/>
    </row>
    <row r="984">
      <c r="C984" s="24"/>
      <c r="F984" s="24"/>
      <c r="H984" s="24"/>
      <c r="I984" s="24"/>
      <c r="J984" s="24"/>
      <c r="N984" s="6"/>
      <c r="O984" s="6"/>
    </row>
    <row r="985">
      <c r="C985" s="24"/>
      <c r="F985" s="24"/>
      <c r="H985" s="24"/>
      <c r="I985" s="24"/>
      <c r="J985" s="24"/>
      <c r="N985" s="6"/>
      <c r="O985" s="6"/>
    </row>
    <row r="986">
      <c r="C986" s="24"/>
      <c r="F986" s="24"/>
      <c r="H986" s="24"/>
      <c r="I986" s="24"/>
      <c r="J986" s="24"/>
      <c r="N986" s="6"/>
      <c r="O986" s="6"/>
    </row>
    <row r="987">
      <c r="C987" s="24"/>
      <c r="F987" s="24"/>
      <c r="H987" s="24"/>
      <c r="I987" s="24"/>
      <c r="J987" s="24"/>
      <c r="N987" s="6"/>
      <c r="O987" s="6"/>
    </row>
    <row r="988">
      <c r="C988" s="24"/>
      <c r="F988" s="24"/>
      <c r="H988" s="24"/>
      <c r="I988" s="24"/>
      <c r="J988" s="24"/>
      <c r="N988" s="6"/>
      <c r="O988" s="6"/>
    </row>
    <row r="989">
      <c r="C989" s="24"/>
      <c r="F989" s="24"/>
      <c r="H989" s="24"/>
      <c r="I989" s="24"/>
      <c r="J989" s="24"/>
      <c r="N989" s="6"/>
      <c r="O989" s="6"/>
    </row>
    <row r="990">
      <c r="C990" s="24"/>
      <c r="F990" s="24"/>
      <c r="H990" s="24"/>
      <c r="I990" s="24"/>
      <c r="J990" s="24"/>
      <c r="N990" s="6"/>
      <c r="O990" s="6"/>
    </row>
    <row r="991">
      <c r="C991" s="24"/>
      <c r="F991" s="24"/>
      <c r="H991" s="24"/>
      <c r="I991" s="24"/>
      <c r="J991" s="24"/>
      <c r="N991" s="6"/>
      <c r="O991" s="6"/>
    </row>
    <row r="992">
      <c r="C992" s="24"/>
      <c r="F992" s="24"/>
      <c r="H992" s="24"/>
      <c r="I992" s="24"/>
      <c r="J992" s="24"/>
      <c r="N992" s="6"/>
      <c r="O992" s="6"/>
    </row>
    <row r="993">
      <c r="C993" s="24"/>
      <c r="F993" s="24"/>
      <c r="H993" s="24"/>
      <c r="I993" s="24"/>
      <c r="J993" s="24"/>
      <c r="N993" s="6"/>
      <c r="O993" s="6"/>
    </row>
    <row r="994">
      <c r="C994" s="24"/>
      <c r="F994" s="24"/>
      <c r="H994" s="24"/>
      <c r="I994" s="24"/>
      <c r="J994" s="24"/>
      <c r="N994" s="6"/>
      <c r="O994" s="6"/>
    </row>
    <row r="995">
      <c r="C995" s="24"/>
      <c r="F995" s="24"/>
      <c r="H995" s="24"/>
      <c r="I995" s="24"/>
      <c r="J995" s="24"/>
      <c r="N995" s="6"/>
      <c r="O995" s="6"/>
    </row>
    <row r="996">
      <c r="C996" s="24"/>
      <c r="F996" s="24"/>
      <c r="H996" s="24"/>
      <c r="I996" s="24"/>
      <c r="J996" s="24"/>
      <c r="N996" s="6"/>
      <c r="O996" s="6"/>
    </row>
    <row r="997">
      <c r="C997" s="24"/>
      <c r="F997" s="24"/>
      <c r="H997" s="24"/>
      <c r="I997" s="24"/>
      <c r="J997" s="24"/>
      <c r="N997" s="6"/>
      <c r="O997" s="6"/>
    </row>
    <row r="998">
      <c r="C998" s="24"/>
      <c r="F998" s="24"/>
      <c r="H998" s="24"/>
      <c r="I998" s="24"/>
      <c r="J998" s="24"/>
      <c r="N998" s="6"/>
      <c r="O998" s="6"/>
    </row>
    <row r="999">
      <c r="C999" s="24"/>
      <c r="F999" s="24"/>
      <c r="H999" s="24"/>
      <c r="I999" s="24"/>
      <c r="J999" s="24"/>
      <c r="N999" s="6"/>
      <c r="O999" s="6"/>
    </row>
    <row r="1000">
      <c r="C1000" s="24"/>
      <c r="F1000" s="24"/>
      <c r="H1000" s="24"/>
      <c r="I1000" s="24"/>
      <c r="J1000" s="24"/>
      <c r="N1000" s="6"/>
      <c r="O1000" s="6"/>
    </row>
    <row r="1001">
      <c r="C1001" s="24"/>
      <c r="F1001" s="24"/>
      <c r="H1001" s="24"/>
      <c r="I1001" s="24"/>
      <c r="J1001" s="24"/>
      <c r="N1001" s="6"/>
      <c r="O1001" s="6"/>
    </row>
    <row r="1002">
      <c r="C1002" s="24"/>
      <c r="F1002" s="24"/>
      <c r="H1002" s="24"/>
      <c r="I1002" s="24"/>
      <c r="J1002" s="24"/>
      <c r="N1002" s="6"/>
      <c r="O1002" s="6"/>
    </row>
    <row r="1003">
      <c r="C1003" s="24"/>
      <c r="F1003" s="24"/>
      <c r="H1003" s="24"/>
      <c r="I1003" s="24"/>
      <c r="J1003" s="24"/>
      <c r="N1003" s="6"/>
      <c r="O1003" s="6"/>
    </row>
    <row r="1004">
      <c r="C1004" s="24"/>
      <c r="F1004" s="24"/>
      <c r="H1004" s="24"/>
      <c r="I1004" s="24"/>
      <c r="J1004" s="24"/>
      <c r="N1004" s="6"/>
      <c r="O1004" s="6"/>
    </row>
    <row r="1005">
      <c r="C1005" s="24"/>
      <c r="F1005" s="24"/>
      <c r="H1005" s="24"/>
      <c r="I1005" s="24"/>
      <c r="J1005" s="24"/>
      <c r="N1005" s="6"/>
      <c r="O1005" s="6"/>
    </row>
  </sheetData>
  <autoFilter ref="$A$6:$AB$33">
    <filterColumn colId="7">
      <filters>
        <filter val="Y"/>
      </filters>
    </filterColumn>
  </autoFilter>
  <mergeCells count="1">
    <mergeCell ref="Q1:R1"/>
  </mergeCells>
  <conditionalFormatting sqref="H1:H1005">
    <cfRule type="cellIs" dxfId="0" priority="1" operator="equal">
      <formula>"Y"</formula>
    </cfRule>
  </conditionalFormatting>
  <conditionalFormatting sqref="H1:H1005">
    <cfRule type="containsText" dxfId="1" priority="2" operator="containsText" text="N">
      <formula>NOT(ISERROR(SEARCH(("N"),(H1))))</formula>
    </cfRule>
  </conditionalFormatting>
  <dataValidations>
    <dataValidation type="list" allowBlank="1" sqref="C7:C1005 I7:I1005">
      <formula1>"P1,P2,P3,P4,P5"</formula1>
    </dataValidation>
    <dataValidation type="list" allowBlank="1" sqref="H7:H1005">
      <formula1>"Y,N"</formula1>
    </dataValidation>
    <dataValidation type="list" allowBlank="1" sqref="F7:F1005 J7:J1005">
      <formula1>BaseData!$A$2:$A$52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7.38"/>
    <col customWidth="1" min="3" max="3" width="7.25"/>
    <col customWidth="1" min="4" max="4" width="27.0"/>
    <col customWidth="1" min="5" max="5" width="9.13"/>
    <col customWidth="1" min="6" max="6" width="27.75"/>
    <col customWidth="1" min="7" max="7" width="11.38"/>
    <col customWidth="1" min="8" max="8" width="16.88"/>
    <col customWidth="1" min="9" max="9" width="9.75"/>
    <col customWidth="1" min="10" max="10" width="14.38"/>
    <col customWidth="1" min="11" max="11" width="10.88"/>
    <col customWidth="1" min="12" max="12" width="49.63"/>
    <col customWidth="1" min="13" max="13" width="19.88"/>
    <col customWidth="1" min="14" max="14" width="21.25"/>
    <col customWidth="1" min="15" max="15" width="24.88"/>
    <col customWidth="1" min="16" max="16" width="5.75"/>
    <col customWidth="1" min="17" max="17" width="23.25"/>
  </cols>
  <sheetData>
    <row r="1">
      <c r="J1" s="8"/>
      <c r="O1" s="9" t="s">
        <v>36</v>
      </c>
      <c r="P1" s="10" t="s">
        <v>37</v>
      </c>
      <c r="Q1" s="11"/>
    </row>
    <row r="2">
      <c r="A2" s="8"/>
      <c r="B2" s="8"/>
      <c r="E2" s="8"/>
      <c r="F2" s="12" t="s">
        <v>25</v>
      </c>
      <c r="G2" s="1">
        <f>countifs(A:A,"&lt;&gt;NEW",A:A,"&lt;&gt;")-1</f>
        <v>10</v>
      </c>
      <c r="I2" s="8"/>
      <c r="J2" s="8"/>
      <c r="O2" s="13" t="s">
        <v>38</v>
      </c>
      <c r="P2" s="14" t="s">
        <v>39</v>
      </c>
      <c r="Q2" s="15" t="s">
        <v>40</v>
      </c>
    </row>
    <row r="3">
      <c r="A3" s="8"/>
      <c r="B3" s="8"/>
      <c r="D3" s="16"/>
      <c r="E3" s="8"/>
      <c r="F3" s="17" t="s">
        <v>41</v>
      </c>
      <c r="G3" s="18">
        <f>countif(H:H,"=Y")</f>
        <v>6</v>
      </c>
      <c r="H3" s="8"/>
      <c r="I3" s="8"/>
      <c r="J3" s="8"/>
      <c r="O3" s="13" t="s">
        <v>42</v>
      </c>
      <c r="P3" s="14" t="s">
        <v>43</v>
      </c>
      <c r="Q3" s="15" t="s">
        <v>44</v>
      </c>
    </row>
    <row r="4">
      <c r="A4" s="8"/>
      <c r="B4" s="8"/>
      <c r="D4" s="8"/>
      <c r="E4" s="8"/>
      <c r="F4" s="17" t="s">
        <v>45</v>
      </c>
      <c r="G4" s="18">
        <f>COUNTIF(A:A,"=NEW")</f>
        <v>0</v>
      </c>
      <c r="H4" s="8"/>
      <c r="I4" s="8"/>
      <c r="J4" s="8"/>
      <c r="O4" s="13" t="s">
        <v>46</v>
      </c>
      <c r="P4" s="14" t="s">
        <v>47</v>
      </c>
      <c r="Q4" s="15" t="s">
        <v>48</v>
      </c>
    </row>
    <row r="5">
      <c r="A5" s="8"/>
      <c r="B5" s="8"/>
      <c r="C5" s="8"/>
      <c r="D5" s="8"/>
      <c r="E5" s="8" t="s">
        <v>590</v>
      </c>
      <c r="F5" s="67" t="s">
        <v>291</v>
      </c>
      <c r="G5" s="8"/>
      <c r="H5" s="8" t="s">
        <v>591</v>
      </c>
      <c r="I5" s="8"/>
      <c r="J5" s="8"/>
      <c r="O5" s="13" t="s">
        <v>49</v>
      </c>
      <c r="P5" s="14" t="s">
        <v>50</v>
      </c>
      <c r="Q5" s="15" t="s">
        <v>51</v>
      </c>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165</v>
      </c>
      <c r="O6" s="13" t="s">
        <v>64</v>
      </c>
      <c r="P6" s="14" t="s">
        <v>65</v>
      </c>
      <c r="Q6" s="15" t="s">
        <v>66</v>
      </c>
    </row>
    <row r="7">
      <c r="A7" s="68" t="s">
        <v>592</v>
      </c>
      <c r="B7" s="69" t="s">
        <v>593</v>
      </c>
      <c r="C7" s="48" t="s">
        <v>95</v>
      </c>
      <c r="D7" s="69" t="s">
        <v>594</v>
      </c>
      <c r="E7" s="69" t="s">
        <v>595</v>
      </c>
      <c r="F7" s="48" t="s">
        <v>296</v>
      </c>
      <c r="G7" s="48" t="s">
        <v>179</v>
      </c>
      <c r="H7" s="70" t="s">
        <v>98</v>
      </c>
      <c r="I7" s="48" t="s">
        <v>95</v>
      </c>
      <c r="J7" s="48" t="s">
        <v>296</v>
      </c>
      <c r="K7" s="71" t="str">
        <f>HYPERLINK("https://maxxton.atlassian.net/browse/QA-24171","QA-24171")</f>
        <v>QA-24171</v>
      </c>
      <c r="L7" s="72" t="s">
        <v>596</v>
      </c>
      <c r="M7" s="73" t="s">
        <v>199</v>
      </c>
      <c r="N7" s="73" t="s">
        <v>172</v>
      </c>
      <c r="O7" s="74" t="s">
        <v>67</v>
      </c>
      <c r="P7" s="75" t="s">
        <v>68</v>
      </c>
      <c r="Q7" s="75" t="s">
        <v>69</v>
      </c>
      <c r="R7" s="76"/>
      <c r="S7" s="76"/>
      <c r="T7" s="76"/>
      <c r="U7" s="76"/>
      <c r="V7" s="76"/>
      <c r="W7" s="76"/>
      <c r="X7" s="76"/>
      <c r="Y7" s="76"/>
      <c r="Z7" s="76"/>
      <c r="AA7" s="76"/>
    </row>
    <row r="8">
      <c r="A8" s="77" t="s">
        <v>597</v>
      </c>
      <c r="B8" s="69" t="s">
        <v>598</v>
      </c>
      <c r="C8" s="48" t="s">
        <v>95</v>
      </c>
      <c r="D8" s="69" t="s">
        <v>599</v>
      </c>
      <c r="E8" s="69" t="s">
        <v>595</v>
      </c>
      <c r="F8" s="48" t="s">
        <v>296</v>
      </c>
      <c r="G8" s="48" t="s">
        <v>179</v>
      </c>
      <c r="H8" s="70" t="s">
        <v>143</v>
      </c>
      <c r="I8" s="48" t="s">
        <v>95</v>
      </c>
      <c r="J8" s="48" t="s">
        <v>296</v>
      </c>
      <c r="K8" s="78" t="str">
        <f>HYPERLINK("https://maxxton.atlassian.net/browse/QA-28953","QA-28953")</f>
        <v>QA-28953</v>
      </c>
      <c r="L8" s="72" t="s">
        <v>600</v>
      </c>
      <c r="M8" s="73" t="s">
        <v>179</v>
      </c>
      <c r="N8" s="73" t="s">
        <v>136</v>
      </c>
      <c r="O8" s="74" t="s">
        <v>79</v>
      </c>
      <c r="P8" s="75"/>
      <c r="Q8" s="75"/>
      <c r="R8" s="76"/>
      <c r="S8" s="76"/>
      <c r="T8" s="76"/>
      <c r="U8" s="76"/>
      <c r="V8" s="76"/>
      <c r="W8" s="76"/>
      <c r="X8" s="76"/>
      <c r="Y8" s="76"/>
      <c r="Z8" s="76"/>
      <c r="AA8" s="76"/>
    </row>
    <row r="9">
      <c r="A9" s="77" t="s">
        <v>601</v>
      </c>
      <c r="B9" s="69" t="s">
        <v>602</v>
      </c>
      <c r="C9" s="48" t="s">
        <v>95</v>
      </c>
      <c r="D9" s="69" t="s">
        <v>603</v>
      </c>
      <c r="E9" s="69" t="s">
        <v>595</v>
      </c>
      <c r="F9" s="48" t="s">
        <v>296</v>
      </c>
      <c r="G9" s="48" t="s">
        <v>179</v>
      </c>
      <c r="H9" s="70" t="s">
        <v>143</v>
      </c>
      <c r="I9" s="48" t="s">
        <v>95</v>
      </c>
      <c r="J9" s="48" t="s">
        <v>296</v>
      </c>
      <c r="K9" s="71" t="str">
        <f>HYPERLINK("https://maxxton.atlassian.net/browse/QA-28954","QA-28954")</f>
        <v>QA-28954</v>
      </c>
      <c r="L9" s="72" t="s">
        <v>600</v>
      </c>
      <c r="M9" s="73" t="s">
        <v>179</v>
      </c>
      <c r="N9" s="73" t="s">
        <v>172</v>
      </c>
      <c r="O9" s="74" t="s">
        <v>76</v>
      </c>
      <c r="P9" s="75"/>
      <c r="Q9" s="75"/>
      <c r="R9" s="76"/>
      <c r="S9" s="76"/>
      <c r="T9" s="76"/>
      <c r="U9" s="76"/>
      <c r="V9" s="76"/>
      <c r="W9" s="76"/>
      <c r="X9" s="76"/>
      <c r="Y9" s="76"/>
      <c r="Z9" s="76"/>
      <c r="AA9" s="76"/>
    </row>
    <row r="10">
      <c r="A10" s="71" t="str">
        <f>HYPERLINK("https://maxxton.atlassian.net/browse/QA-9473","QA-9473")</f>
        <v>QA-9473</v>
      </c>
      <c r="B10" s="48" t="s">
        <v>604</v>
      </c>
      <c r="C10" s="48" t="s">
        <v>95</v>
      </c>
      <c r="D10" s="69" t="s">
        <v>605</v>
      </c>
      <c r="E10" s="69" t="s">
        <v>595</v>
      </c>
      <c r="F10" s="48" t="s">
        <v>296</v>
      </c>
      <c r="G10" s="48" t="s">
        <v>179</v>
      </c>
      <c r="H10" s="70" t="s">
        <v>98</v>
      </c>
      <c r="I10" s="48" t="s">
        <v>95</v>
      </c>
      <c r="J10" s="48" t="s">
        <v>296</v>
      </c>
      <c r="K10" s="78" t="str">
        <f>HYPERLINK("https://maxxton.atlassian.net/browse/QA-27792","QA-27792")</f>
        <v>QA-27792</v>
      </c>
      <c r="L10" s="48" t="s">
        <v>606</v>
      </c>
      <c r="M10" s="73" t="s">
        <v>231</v>
      </c>
      <c r="N10" s="73" t="s">
        <v>110</v>
      </c>
      <c r="O10" s="74" t="s">
        <v>84</v>
      </c>
      <c r="P10" s="75"/>
      <c r="Q10" s="75"/>
      <c r="R10" s="76"/>
      <c r="S10" s="76"/>
      <c r="T10" s="76"/>
      <c r="U10" s="76"/>
      <c r="V10" s="76"/>
      <c r="W10" s="76"/>
      <c r="X10" s="76"/>
      <c r="Y10" s="76"/>
      <c r="Z10" s="76"/>
      <c r="AA10" s="76"/>
    </row>
    <row r="11">
      <c r="A11" s="71" t="str">
        <f>HYPERLINK("https://maxxton.atlassian.net/browse/QA-9476","QA-9476")</f>
        <v>QA-9476</v>
      </c>
      <c r="B11" s="48" t="s">
        <v>607</v>
      </c>
      <c r="C11" s="48" t="s">
        <v>95</v>
      </c>
      <c r="D11" s="69" t="s">
        <v>605</v>
      </c>
      <c r="E11" s="69" t="s">
        <v>595</v>
      </c>
      <c r="F11" s="48" t="s">
        <v>296</v>
      </c>
      <c r="G11" s="48" t="s">
        <v>179</v>
      </c>
      <c r="H11" s="48" t="s">
        <v>143</v>
      </c>
      <c r="I11" s="48" t="s">
        <v>95</v>
      </c>
      <c r="J11" s="48" t="s">
        <v>296</v>
      </c>
      <c r="K11" s="78" t="str">
        <f>HYPERLINK("https://maxxton.atlassian.net/browse/QA-28955","QA-28955")</f>
        <v>QA-28955</v>
      </c>
      <c r="L11" s="48" t="s">
        <v>600</v>
      </c>
      <c r="M11" s="73" t="s">
        <v>199</v>
      </c>
      <c r="N11" s="73" t="s">
        <v>110</v>
      </c>
      <c r="O11" s="74" t="s">
        <v>85</v>
      </c>
      <c r="P11" s="75"/>
      <c r="Q11" s="75"/>
      <c r="R11" s="76"/>
      <c r="S11" s="76"/>
      <c r="T11" s="76"/>
      <c r="U11" s="76"/>
      <c r="V11" s="76"/>
      <c r="W11" s="76"/>
      <c r="X11" s="76"/>
      <c r="Y11" s="76"/>
      <c r="Z11" s="76"/>
      <c r="AA11" s="76"/>
    </row>
    <row r="12">
      <c r="A12" s="48" t="s">
        <v>608</v>
      </c>
      <c r="B12" s="48" t="s">
        <v>609</v>
      </c>
      <c r="C12" s="48" t="s">
        <v>95</v>
      </c>
      <c r="D12" s="69" t="s">
        <v>605</v>
      </c>
      <c r="E12" s="69" t="s">
        <v>595</v>
      </c>
      <c r="F12" s="48" t="s">
        <v>296</v>
      </c>
      <c r="G12" s="48" t="s">
        <v>179</v>
      </c>
      <c r="H12" s="70" t="s">
        <v>143</v>
      </c>
      <c r="I12" s="48" t="s">
        <v>95</v>
      </c>
      <c r="J12" s="48" t="s">
        <v>296</v>
      </c>
      <c r="K12" s="78" t="str">
        <f>HYPERLINK("https://maxxton.atlassian.net/browse/QA-28956","QA-28956")</f>
        <v>QA-28956</v>
      </c>
      <c r="L12" s="48" t="s">
        <v>600</v>
      </c>
      <c r="M12" s="73" t="s">
        <v>231</v>
      </c>
      <c r="N12" s="73" t="s">
        <v>110</v>
      </c>
      <c r="O12" s="74" t="s">
        <v>86</v>
      </c>
      <c r="P12" s="75"/>
      <c r="Q12" s="75"/>
      <c r="R12" s="76"/>
      <c r="S12" s="76"/>
      <c r="T12" s="76"/>
      <c r="U12" s="76"/>
      <c r="V12" s="76"/>
      <c r="W12" s="76"/>
      <c r="X12" s="76"/>
      <c r="Y12" s="76"/>
      <c r="Z12" s="76"/>
      <c r="AA12" s="76"/>
    </row>
    <row r="13">
      <c r="A13" s="77" t="s">
        <v>610</v>
      </c>
      <c r="B13" s="69" t="s">
        <v>611</v>
      </c>
      <c r="C13" s="48" t="s">
        <v>95</v>
      </c>
      <c r="D13" s="69" t="s">
        <v>612</v>
      </c>
      <c r="E13" s="69" t="s">
        <v>595</v>
      </c>
      <c r="F13" s="48" t="s">
        <v>296</v>
      </c>
      <c r="G13" s="48" t="s">
        <v>179</v>
      </c>
      <c r="H13" s="70" t="s">
        <v>143</v>
      </c>
      <c r="I13" s="48" t="s">
        <v>95</v>
      </c>
      <c r="J13" s="48" t="s">
        <v>296</v>
      </c>
      <c r="K13" s="78" t="str">
        <f>HYPERLINK("https://maxxton.atlassian.net/browse/QA-28957","QA-28957")</f>
        <v>QA-28957</v>
      </c>
      <c r="L13" s="72" t="s">
        <v>600</v>
      </c>
      <c r="M13" s="73" t="s">
        <v>179</v>
      </c>
      <c r="N13" s="73" t="s">
        <v>172</v>
      </c>
      <c r="O13" s="74" t="s">
        <v>81</v>
      </c>
      <c r="P13" s="75"/>
      <c r="Q13" s="75"/>
      <c r="R13" s="76"/>
      <c r="S13" s="76"/>
      <c r="T13" s="76"/>
      <c r="U13" s="76"/>
      <c r="V13" s="76"/>
      <c r="W13" s="76"/>
      <c r="X13" s="76"/>
      <c r="Y13" s="76"/>
      <c r="Z13" s="76"/>
      <c r="AA13" s="76"/>
    </row>
    <row r="14">
      <c r="A14" s="69" t="s">
        <v>613</v>
      </c>
      <c r="B14" s="69" t="s">
        <v>614</v>
      </c>
      <c r="C14" s="48" t="s">
        <v>95</v>
      </c>
      <c r="D14" s="69" t="s">
        <v>615</v>
      </c>
      <c r="E14" s="69" t="s">
        <v>595</v>
      </c>
      <c r="F14" s="48" t="s">
        <v>296</v>
      </c>
      <c r="G14" s="48" t="s">
        <v>179</v>
      </c>
      <c r="H14" s="70" t="s">
        <v>98</v>
      </c>
      <c r="I14" s="48" t="s">
        <v>95</v>
      </c>
      <c r="J14" s="48" t="s">
        <v>296</v>
      </c>
      <c r="K14" s="78" t="str">
        <f>HYPERLINK("https://maxxton.atlassian.net/browse/QA-27795","QA-27795")</f>
        <v>QA-27795</v>
      </c>
      <c r="L14" s="72" t="s">
        <v>606</v>
      </c>
      <c r="M14" s="73" t="s">
        <v>179</v>
      </c>
      <c r="N14" s="73" t="s">
        <v>172</v>
      </c>
      <c r="O14" s="74" t="s">
        <v>83</v>
      </c>
      <c r="P14" s="75"/>
      <c r="Q14" s="75"/>
      <c r="R14" s="76"/>
      <c r="S14" s="76"/>
      <c r="T14" s="76"/>
      <c r="U14" s="76"/>
      <c r="V14" s="76"/>
      <c r="W14" s="76"/>
      <c r="X14" s="76"/>
      <c r="Y14" s="76"/>
      <c r="Z14" s="76"/>
      <c r="AA14" s="76"/>
    </row>
    <row r="15">
      <c r="A15" s="77" t="s">
        <v>616</v>
      </c>
      <c r="B15" s="69" t="s">
        <v>617</v>
      </c>
      <c r="C15" s="48" t="s">
        <v>95</v>
      </c>
      <c r="D15" s="69" t="s">
        <v>615</v>
      </c>
      <c r="E15" s="69" t="s">
        <v>595</v>
      </c>
      <c r="F15" s="48" t="s">
        <v>296</v>
      </c>
      <c r="G15" s="48" t="s">
        <v>179</v>
      </c>
      <c r="H15" s="70" t="s">
        <v>98</v>
      </c>
      <c r="I15" s="48" t="s">
        <v>95</v>
      </c>
      <c r="J15" s="48" t="s">
        <v>296</v>
      </c>
      <c r="K15" s="78" t="str">
        <f>HYPERLINK("https://maxxton.atlassian.net/browse/QA-24759","QA-24759")</f>
        <v>QA-24759</v>
      </c>
      <c r="L15" s="72" t="s">
        <v>174</v>
      </c>
      <c r="M15" s="73" t="s">
        <v>199</v>
      </c>
      <c r="N15" s="73" t="s">
        <v>110</v>
      </c>
      <c r="O15" s="74" t="s">
        <v>82</v>
      </c>
      <c r="P15" s="75"/>
      <c r="Q15" s="75"/>
      <c r="R15" s="76"/>
      <c r="S15" s="76"/>
      <c r="T15" s="76"/>
      <c r="U15" s="76"/>
      <c r="V15" s="76"/>
      <c r="W15" s="76"/>
      <c r="X15" s="76"/>
      <c r="Y15" s="76"/>
      <c r="Z15" s="76"/>
      <c r="AA15" s="76"/>
    </row>
    <row r="16">
      <c r="A16" s="77" t="s">
        <v>618</v>
      </c>
      <c r="B16" s="69" t="s">
        <v>619</v>
      </c>
      <c r="C16" s="48" t="s">
        <v>95</v>
      </c>
      <c r="D16" s="69" t="s">
        <v>620</v>
      </c>
      <c r="E16" s="69" t="s">
        <v>595</v>
      </c>
      <c r="F16" s="48" t="s">
        <v>296</v>
      </c>
      <c r="G16" s="48" t="s">
        <v>179</v>
      </c>
      <c r="H16" s="70" t="s">
        <v>143</v>
      </c>
      <c r="I16" s="48" t="s">
        <v>95</v>
      </c>
      <c r="J16" s="48" t="s">
        <v>296</v>
      </c>
      <c r="K16" s="78" t="str">
        <f>HYPERLINK("https://maxxton.atlassian.net/browse/QA-28958","QA-28958")</f>
        <v>QA-28958</v>
      </c>
      <c r="L16" s="72" t="s">
        <v>600</v>
      </c>
      <c r="M16" s="73" t="s">
        <v>199</v>
      </c>
      <c r="N16" s="73" t="s">
        <v>172</v>
      </c>
      <c r="O16" s="74" t="s">
        <v>82</v>
      </c>
      <c r="P16" s="75"/>
      <c r="Q16" s="75"/>
      <c r="R16" s="76"/>
      <c r="S16" s="76"/>
      <c r="T16" s="76"/>
      <c r="U16" s="76"/>
      <c r="V16" s="76"/>
      <c r="W16" s="76"/>
      <c r="X16" s="76"/>
      <c r="Y16" s="76"/>
      <c r="Z16" s="76"/>
      <c r="AA16" s="76"/>
    </row>
    <row r="17">
      <c r="L17" s="51" t="s">
        <v>621</v>
      </c>
      <c r="M17" s="79" t="s">
        <v>622</v>
      </c>
      <c r="N17" s="79" t="s">
        <v>623</v>
      </c>
    </row>
    <row r="19">
      <c r="A19" s="76"/>
      <c r="B19" s="76"/>
      <c r="D19" s="76"/>
      <c r="E19" s="76"/>
      <c r="F19" s="76"/>
      <c r="G19" s="76"/>
      <c r="H19" s="76"/>
      <c r="I19" s="75"/>
      <c r="J19" s="75"/>
      <c r="K19" s="76"/>
      <c r="M19" s="76"/>
      <c r="N19" s="76"/>
      <c r="P19" s="75"/>
      <c r="Q19" s="75"/>
      <c r="R19" s="76"/>
      <c r="S19" s="76"/>
      <c r="T19" s="76"/>
      <c r="U19" s="76"/>
      <c r="V19" s="76"/>
      <c r="W19" s="76"/>
      <c r="X19" s="76"/>
      <c r="Y19" s="76"/>
      <c r="Z19" s="76"/>
      <c r="AA19" s="76"/>
    </row>
    <row r="20">
      <c r="A20" s="76"/>
      <c r="B20" s="76"/>
      <c r="D20" s="76"/>
      <c r="E20" s="76"/>
      <c r="F20" s="76"/>
      <c r="G20" s="76"/>
      <c r="H20" s="76"/>
      <c r="I20" s="76"/>
      <c r="J20" s="76"/>
      <c r="K20" s="76"/>
      <c r="M20" s="76"/>
      <c r="N20" s="76"/>
      <c r="P20" s="75"/>
      <c r="Q20" s="75"/>
      <c r="R20" s="76"/>
      <c r="S20" s="76"/>
      <c r="T20" s="76"/>
      <c r="U20" s="76"/>
      <c r="V20" s="76"/>
      <c r="W20" s="76"/>
      <c r="X20" s="76"/>
      <c r="Y20" s="76"/>
      <c r="Z20" s="76"/>
      <c r="AA20" s="76"/>
    </row>
    <row r="21">
      <c r="A21" s="76"/>
      <c r="B21" s="76"/>
      <c r="D21" s="76"/>
      <c r="E21" s="76"/>
      <c r="F21" s="76"/>
      <c r="G21" s="76"/>
      <c r="H21" s="76"/>
      <c r="I21" s="76"/>
      <c r="J21" s="76"/>
      <c r="K21" s="76"/>
      <c r="M21" s="76"/>
      <c r="N21" s="76"/>
      <c r="P21" s="75"/>
      <c r="Q21" s="75"/>
      <c r="R21" s="76"/>
      <c r="S21" s="76"/>
      <c r="T21" s="76"/>
      <c r="U21" s="76"/>
      <c r="V21" s="76"/>
      <c r="W21" s="76"/>
      <c r="X21" s="76"/>
      <c r="Y21" s="76"/>
      <c r="Z21" s="76"/>
      <c r="AA21" s="76"/>
    </row>
    <row r="22">
      <c r="A22" s="76"/>
      <c r="B22" s="76"/>
      <c r="D22" s="76"/>
      <c r="E22" s="76"/>
      <c r="F22" s="76"/>
      <c r="G22" s="76"/>
      <c r="H22" s="76"/>
      <c r="I22" s="76"/>
      <c r="J22" s="76"/>
      <c r="K22" s="76"/>
      <c r="M22" s="76"/>
      <c r="N22" s="76"/>
      <c r="O22" s="76"/>
      <c r="P22" s="75"/>
      <c r="Q22" s="75"/>
      <c r="R22" s="76"/>
      <c r="S22" s="76"/>
      <c r="T22" s="76"/>
      <c r="U22" s="76"/>
      <c r="V22" s="76"/>
      <c r="W22" s="76"/>
      <c r="X22" s="76"/>
      <c r="Y22" s="76"/>
      <c r="Z22" s="76"/>
      <c r="AA22" s="76"/>
    </row>
    <row r="23">
      <c r="A23" s="76"/>
      <c r="B23" s="76"/>
      <c r="D23" s="76"/>
      <c r="E23" s="76"/>
      <c r="F23" s="76"/>
      <c r="G23" s="76"/>
      <c r="H23" s="76"/>
      <c r="I23" s="76"/>
      <c r="J23" s="76"/>
      <c r="K23" s="76"/>
      <c r="M23" s="76"/>
      <c r="N23" s="76"/>
      <c r="O23" s="76"/>
      <c r="P23" s="75"/>
      <c r="Q23" s="75"/>
      <c r="R23" s="76"/>
      <c r="S23" s="76"/>
      <c r="T23" s="76"/>
      <c r="U23" s="76"/>
      <c r="V23" s="76"/>
      <c r="W23" s="76"/>
      <c r="X23" s="76"/>
      <c r="Y23" s="76"/>
      <c r="Z23" s="76"/>
      <c r="AA23" s="76"/>
    </row>
    <row r="24">
      <c r="A24" s="76"/>
      <c r="B24" s="76"/>
      <c r="D24" s="76"/>
      <c r="E24" s="76"/>
      <c r="F24" s="76"/>
      <c r="G24" s="76"/>
      <c r="H24" s="76"/>
      <c r="I24" s="76"/>
      <c r="J24" s="76"/>
      <c r="K24" s="76"/>
      <c r="L24" s="76"/>
      <c r="M24" s="76"/>
      <c r="N24" s="76"/>
      <c r="O24" s="76"/>
      <c r="P24" s="75"/>
      <c r="Q24" s="75"/>
      <c r="R24" s="76"/>
      <c r="S24" s="76"/>
      <c r="T24" s="76"/>
      <c r="U24" s="76"/>
      <c r="V24" s="76"/>
      <c r="W24" s="76"/>
      <c r="X24" s="76"/>
      <c r="Y24" s="76"/>
      <c r="Z24" s="76"/>
      <c r="AA24" s="76"/>
    </row>
    <row r="25">
      <c r="A25" s="76"/>
      <c r="B25" s="76"/>
      <c r="D25" s="76"/>
      <c r="E25" s="76"/>
      <c r="F25" s="24"/>
      <c r="G25" s="76"/>
      <c r="H25" s="76"/>
      <c r="I25" s="76"/>
      <c r="J25" s="76"/>
      <c r="K25" s="76"/>
      <c r="L25" s="76"/>
      <c r="M25" s="76"/>
      <c r="N25" s="76"/>
      <c r="O25" s="76"/>
      <c r="P25" s="76"/>
      <c r="Q25" s="76"/>
      <c r="R25" s="76"/>
      <c r="S25" s="76"/>
      <c r="T25" s="76"/>
      <c r="U25" s="76"/>
      <c r="V25" s="76"/>
      <c r="W25" s="76"/>
      <c r="X25" s="76"/>
      <c r="Y25" s="76"/>
      <c r="Z25" s="76"/>
      <c r="AA25" s="76"/>
    </row>
    <row r="26">
      <c r="A26" s="76"/>
      <c r="B26" s="76"/>
      <c r="D26" s="76"/>
      <c r="E26" s="76"/>
      <c r="F26" s="76"/>
      <c r="G26" s="76"/>
      <c r="H26" s="76"/>
      <c r="I26" s="76"/>
      <c r="J26" s="76"/>
      <c r="K26" s="76"/>
      <c r="L26" s="76"/>
      <c r="M26" s="76"/>
      <c r="N26" s="76"/>
      <c r="O26" s="76"/>
      <c r="P26" s="76"/>
      <c r="Q26" s="76"/>
      <c r="R26" s="76"/>
      <c r="S26" s="76"/>
      <c r="T26" s="76"/>
      <c r="U26" s="76"/>
      <c r="V26" s="76"/>
      <c r="W26" s="76"/>
      <c r="X26" s="76"/>
      <c r="Y26" s="76"/>
      <c r="Z26" s="76"/>
      <c r="AA26" s="76"/>
    </row>
    <row r="27">
      <c r="A27" s="76"/>
      <c r="B27" s="76"/>
      <c r="D27" s="76"/>
      <c r="E27" s="76"/>
      <c r="F27" s="76"/>
      <c r="G27" s="76"/>
      <c r="H27" s="76"/>
      <c r="I27" s="76"/>
      <c r="J27" s="76"/>
      <c r="K27" s="76"/>
      <c r="L27" s="76"/>
      <c r="M27" s="76"/>
      <c r="N27" s="76"/>
      <c r="O27" s="76"/>
      <c r="P27" s="76"/>
      <c r="Q27" s="76"/>
      <c r="R27" s="76"/>
      <c r="S27" s="76"/>
      <c r="T27" s="76"/>
      <c r="U27" s="76"/>
      <c r="V27" s="76"/>
      <c r="W27" s="76"/>
      <c r="X27" s="76"/>
      <c r="Y27" s="76"/>
      <c r="Z27" s="76"/>
      <c r="AA27" s="76"/>
    </row>
    <row r="28">
      <c r="A28" s="76"/>
      <c r="B28" s="76"/>
      <c r="D28" s="76"/>
      <c r="E28" s="76"/>
      <c r="F28" s="76"/>
      <c r="G28" s="76"/>
      <c r="H28" s="76"/>
      <c r="I28" s="76"/>
      <c r="J28" s="76"/>
      <c r="K28" s="76"/>
      <c r="L28" s="76"/>
      <c r="M28" s="76"/>
      <c r="N28" s="76"/>
      <c r="O28" s="76"/>
      <c r="P28" s="76"/>
      <c r="Q28" s="76"/>
      <c r="R28" s="76"/>
      <c r="S28" s="76"/>
      <c r="T28" s="76"/>
      <c r="U28" s="76"/>
      <c r="V28" s="76"/>
      <c r="W28" s="76"/>
      <c r="X28" s="76"/>
      <c r="Y28" s="76"/>
      <c r="Z28" s="76"/>
      <c r="AA28" s="76"/>
    </row>
    <row r="29">
      <c r="A29" s="76"/>
      <c r="B29" s="76"/>
      <c r="D29" s="76"/>
      <c r="E29" s="76"/>
      <c r="F29" s="76"/>
      <c r="G29" s="76"/>
      <c r="H29" s="76"/>
      <c r="I29" s="76"/>
      <c r="J29" s="76"/>
      <c r="K29" s="76"/>
      <c r="L29" s="76"/>
      <c r="M29" s="76"/>
      <c r="N29" s="76"/>
      <c r="O29" s="76"/>
      <c r="P29" s="76"/>
      <c r="Q29" s="76"/>
      <c r="R29" s="76"/>
      <c r="S29" s="76"/>
      <c r="T29" s="76"/>
      <c r="U29" s="76"/>
      <c r="V29" s="76"/>
      <c r="W29" s="76"/>
      <c r="X29" s="76"/>
      <c r="Y29" s="76"/>
      <c r="Z29" s="76"/>
      <c r="AA29" s="76"/>
    </row>
    <row r="30">
      <c r="A30" s="76"/>
      <c r="B30" s="76"/>
      <c r="D30" s="76"/>
      <c r="E30" s="76"/>
      <c r="F30" s="76"/>
      <c r="G30" s="76"/>
      <c r="H30" s="76"/>
      <c r="I30" s="76"/>
      <c r="J30" s="76"/>
      <c r="K30" s="76"/>
      <c r="M30" s="76"/>
      <c r="N30" s="76"/>
      <c r="O30" s="76"/>
      <c r="P30" s="76"/>
      <c r="Q30" s="76"/>
      <c r="R30" s="76"/>
      <c r="S30" s="76"/>
      <c r="T30" s="76"/>
      <c r="U30" s="76"/>
      <c r="V30" s="76"/>
      <c r="W30" s="76"/>
      <c r="X30" s="76"/>
      <c r="Y30" s="76"/>
      <c r="Z30" s="76"/>
      <c r="AA30" s="76"/>
    </row>
    <row r="32">
      <c r="A32" s="76"/>
      <c r="B32" s="76"/>
      <c r="D32" s="76"/>
      <c r="E32" s="76"/>
      <c r="F32" s="76"/>
      <c r="G32" s="76"/>
      <c r="H32" s="76"/>
      <c r="I32" s="76"/>
      <c r="J32" s="76"/>
      <c r="K32" s="76"/>
      <c r="L32" s="76"/>
      <c r="M32" s="76"/>
      <c r="N32" s="76"/>
      <c r="O32" s="76"/>
      <c r="P32" s="76"/>
      <c r="Q32" s="76"/>
      <c r="R32" s="76"/>
      <c r="S32" s="76"/>
      <c r="T32" s="76"/>
      <c r="U32" s="76"/>
      <c r="V32" s="76"/>
      <c r="W32" s="76"/>
      <c r="X32" s="76"/>
      <c r="Y32" s="76"/>
      <c r="Z32" s="76"/>
      <c r="AA32" s="76"/>
    </row>
    <row r="33">
      <c r="A33" s="76"/>
      <c r="B33" s="76"/>
      <c r="D33" s="76"/>
      <c r="E33" s="76"/>
      <c r="F33" s="76"/>
      <c r="G33" s="76"/>
      <c r="H33" s="76"/>
      <c r="I33" s="76"/>
      <c r="J33" s="76"/>
      <c r="K33" s="76"/>
      <c r="L33" s="76"/>
      <c r="M33" s="76"/>
      <c r="N33" s="76"/>
      <c r="O33" s="76"/>
      <c r="P33" s="76"/>
      <c r="Q33" s="76"/>
      <c r="R33" s="76"/>
      <c r="S33" s="76"/>
      <c r="T33" s="76"/>
      <c r="U33" s="76"/>
      <c r="V33" s="76"/>
      <c r="W33" s="76"/>
      <c r="X33" s="76"/>
      <c r="Y33" s="76"/>
      <c r="Z33" s="76"/>
      <c r="AA33" s="76"/>
    </row>
    <row r="34">
      <c r="A34" s="76"/>
      <c r="B34" s="76"/>
      <c r="D34" s="76"/>
      <c r="E34" s="76"/>
      <c r="F34" s="76"/>
      <c r="G34" s="76"/>
      <c r="H34" s="76"/>
      <c r="I34" s="76"/>
      <c r="J34" s="76"/>
      <c r="K34" s="76"/>
      <c r="L34" s="76"/>
      <c r="M34" s="76"/>
      <c r="N34" s="76"/>
      <c r="O34" s="76"/>
      <c r="P34" s="76"/>
      <c r="Q34" s="76"/>
      <c r="R34" s="76"/>
      <c r="S34" s="76"/>
      <c r="T34" s="76"/>
      <c r="U34" s="76"/>
      <c r="V34" s="76"/>
      <c r="W34" s="76"/>
      <c r="X34" s="76"/>
      <c r="Y34" s="76"/>
      <c r="Z34" s="76"/>
      <c r="AA34" s="76"/>
    </row>
    <row r="35">
      <c r="A35" s="76"/>
      <c r="B35" s="76"/>
      <c r="D35" s="76"/>
      <c r="E35" s="76"/>
      <c r="F35" s="76"/>
      <c r="G35" s="76"/>
      <c r="H35" s="76"/>
      <c r="I35" s="76"/>
      <c r="J35" s="76"/>
      <c r="K35" s="76"/>
      <c r="L35" s="76"/>
      <c r="M35" s="76"/>
      <c r="N35" s="76"/>
      <c r="O35" s="76"/>
      <c r="P35" s="76"/>
      <c r="Q35" s="76"/>
      <c r="R35" s="76"/>
      <c r="S35" s="76"/>
      <c r="T35" s="76"/>
      <c r="U35" s="76"/>
      <c r="V35" s="76"/>
      <c r="W35" s="76"/>
      <c r="X35" s="76"/>
      <c r="Y35" s="76"/>
      <c r="Z35" s="76"/>
      <c r="AA35" s="76"/>
    </row>
    <row r="36">
      <c r="A36" s="76"/>
      <c r="B36" s="76"/>
      <c r="D36" s="76"/>
      <c r="E36" s="76"/>
      <c r="F36" s="76"/>
      <c r="G36" s="76"/>
      <c r="H36" s="76"/>
      <c r="I36" s="76"/>
      <c r="J36" s="76"/>
      <c r="K36" s="76"/>
      <c r="L36" s="76"/>
      <c r="M36" s="76"/>
      <c r="N36" s="76"/>
      <c r="O36" s="76"/>
      <c r="P36" s="76"/>
      <c r="Q36" s="76"/>
      <c r="R36" s="76"/>
      <c r="S36" s="76"/>
      <c r="T36" s="76"/>
      <c r="U36" s="76"/>
      <c r="V36" s="76"/>
      <c r="W36" s="76"/>
      <c r="X36" s="76"/>
      <c r="Y36" s="76"/>
      <c r="Z36" s="76"/>
      <c r="AA36" s="76"/>
    </row>
    <row r="37">
      <c r="A37" s="76"/>
      <c r="B37" s="76"/>
      <c r="D37" s="76"/>
      <c r="E37" s="76"/>
      <c r="F37" s="76"/>
      <c r="G37" s="76"/>
      <c r="H37" s="76"/>
      <c r="I37" s="76"/>
      <c r="J37" s="76"/>
      <c r="K37" s="76"/>
      <c r="L37" s="76"/>
      <c r="M37" s="76"/>
      <c r="N37" s="76"/>
      <c r="O37" s="76"/>
      <c r="P37" s="76"/>
      <c r="Q37" s="76"/>
      <c r="R37" s="76"/>
      <c r="S37" s="76"/>
      <c r="T37" s="76"/>
      <c r="U37" s="76"/>
      <c r="V37" s="76"/>
      <c r="W37" s="76"/>
      <c r="X37" s="76"/>
      <c r="Y37" s="76"/>
      <c r="Z37" s="76"/>
      <c r="AA37" s="76"/>
    </row>
    <row r="38">
      <c r="A38" s="76"/>
      <c r="B38" s="76"/>
      <c r="D38" s="76"/>
      <c r="E38" s="76"/>
      <c r="F38" s="76"/>
      <c r="G38" s="76"/>
      <c r="H38" s="76"/>
      <c r="I38" s="76"/>
      <c r="J38" s="76"/>
      <c r="K38" s="76"/>
      <c r="L38" s="76"/>
      <c r="M38" s="76"/>
      <c r="N38" s="76"/>
      <c r="O38" s="76"/>
      <c r="P38" s="76"/>
      <c r="Q38" s="76"/>
      <c r="R38" s="76"/>
      <c r="S38" s="76"/>
      <c r="T38" s="76"/>
      <c r="U38" s="76"/>
      <c r="V38" s="76"/>
      <c r="W38" s="76"/>
      <c r="X38" s="76"/>
      <c r="Y38" s="76"/>
      <c r="Z38" s="76"/>
      <c r="AA38" s="76"/>
    </row>
    <row r="39">
      <c r="A39" s="76"/>
      <c r="B39" s="76"/>
      <c r="D39" s="76"/>
      <c r="E39" s="76"/>
      <c r="F39" s="76"/>
      <c r="G39" s="76"/>
      <c r="H39" s="76"/>
      <c r="I39" s="76"/>
      <c r="J39" s="76"/>
      <c r="K39" s="76"/>
      <c r="L39" s="76"/>
      <c r="M39" s="76"/>
      <c r="N39" s="76"/>
      <c r="O39" s="76"/>
      <c r="P39" s="76"/>
      <c r="Q39" s="76"/>
      <c r="R39" s="76"/>
      <c r="S39" s="76"/>
      <c r="T39" s="76"/>
      <c r="U39" s="76"/>
      <c r="V39" s="76"/>
      <c r="W39" s="76"/>
      <c r="X39" s="76"/>
      <c r="Y39" s="76"/>
      <c r="Z39" s="76"/>
      <c r="AA39" s="76"/>
    </row>
    <row r="40">
      <c r="A40" s="76"/>
      <c r="B40" s="76"/>
      <c r="D40" s="76"/>
      <c r="E40" s="76"/>
      <c r="F40" s="76"/>
      <c r="G40" s="76"/>
      <c r="H40" s="76"/>
      <c r="I40" s="76"/>
      <c r="J40" s="76"/>
      <c r="K40" s="76"/>
      <c r="L40" s="76"/>
      <c r="M40" s="76"/>
      <c r="N40" s="76"/>
      <c r="O40" s="76"/>
      <c r="P40" s="76"/>
      <c r="Q40" s="76"/>
      <c r="R40" s="76"/>
      <c r="S40" s="76"/>
      <c r="T40" s="76"/>
      <c r="U40" s="76"/>
      <c r="V40" s="76"/>
      <c r="W40" s="76"/>
      <c r="X40" s="76"/>
      <c r="Y40" s="76"/>
      <c r="Z40" s="76"/>
      <c r="AA40" s="76"/>
    </row>
    <row r="41">
      <c r="A41" s="76"/>
      <c r="B41" s="76"/>
      <c r="D41" s="76"/>
      <c r="E41" s="76"/>
      <c r="F41" s="76"/>
      <c r="G41" s="76"/>
      <c r="H41" s="76"/>
      <c r="I41" s="76"/>
      <c r="J41" s="76"/>
      <c r="K41" s="76"/>
      <c r="L41" s="76"/>
      <c r="M41" s="76"/>
      <c r="N41" s="76"/>
      <c r="O41" s="76"/>
      <c r="P41" s="76"/>
      <c r="Q41" s="76"/>
      <c r="R41" s="76"/>
      <c r="S41" s="76"/>
      <c r="T41" s="76"/>
      <c r="U41" s="76"/>
      <c r="V41" s="76"/>
      <c r="W41" s="76"/>
      <c r="X41" s="76"/>
      <c r="Y41" s="76"/>
      <c r="Z41" s="76"/>
      <c r="AA41" s="76"/>
    </row>
    <row r="42">
      <c r="A42" s="76"/>
      <c r="B42" s="76"/>
      <c r="D42" s="76"/>
      <c r="E42" s="76"/>
      <c r="F42" s="76"/>
      <c r="G42" s="76"/>
      <c r="H42" s="76"/>
      <c r="I42" s="76"/>
      <c r="J42" s="76"/>
      <c r="K42" s="76"/>
      <c r="L42" s="76"/>
      <c r="M42" s="76"/>
      <c r="N42" s="76"/>
      <c r="O42" s="76"/>
      <c r="P42" s="76"/>
      <c r="Q42" s="76"/>
      <c r="R42" s="76"/>
      <c r="S42" s="76"/>
      <c r="T42" s="76"/>
      <c r="U42" s="76"/>
      <c r="V42" s="76"/>
      <c r="W42" s="76"/>
      <c r="X42" s="76"/>
      <c r="Y42" s="76"/>
      <c r="Z42" s="76"/>
      <c r="AA42" s="76"/>
    </row>
    <row r="43">
      <c r="A43" s="76"/>
      <c r="B43" s="76"/>
      <c r="D43" s="76"/>
      <c r="E43" s="76"/>
      <c r="F43" s="76"/>
      <c r="G43" s="76"/>
      <c r="H43" s="76"/>
      <c r="I43" s="76"/>
      <c r="J43" s="76"/>
      <c r="K43" s="76"/>
      <c r="L43" s="76"/>
      <c r="M43" s="76"/>
      <c r="N43" s="76"/>
      <c r="O43" s="76"/>
      <c r="P43" s="76"/>
      <c r="Q43" s="76"/>
      <c r="R43" s="76"/>
      <c r="S43" s="76"/>
      <c r="T43" s="76"/>
      <c r="U43" s="76"/>
      <c r="V43" s="76"/>
      <c r="W43" s="76"/>
      <c r="X43" s="76"/>
      <c r="Y43" s="76"/>
      <c r="Z43" s="76"/>
      <c r="AA43" s="76"/>
    </row>
    <row r="44">
      <c r="A44" s="76"/>
      <c r="B44" s="76"/>
      <c r="D44" s="76"/>
      <c r="E44" s="76"/>
      <c r="F44" s="76"/>
      <c r="G44" s="76"/>
      <c r="H44" s="76"/>
      <c r="I44" s="76"/>
      <c r="J44" s="76"/>
      <c r="K44" s="76"/>
      <c r="L44" s="76"/>
      <c r="M44" s="76"/>
      <c r="N44" s="76"/>
      <c r="O44" s="76"/>
      <c r="P44" s="76"/>
      <c r="Q44" s="76"/>
      <c r="R44" s="76"/>
      <c r="S44" s="76"/>
      <c r="T44" s="76"/>
      <c r="U44" s="76"/>
      <c r="V44" s="76"/>
      <c r="W44" s="76"/>
      <c r="X44" s="76"/>
      <c r="Y44" s="76"/>
      <c r="Z44" s="76"/>
      <c r="AA44" s="76"/>
    </row>
    <row r="45">
      <c r="A45" s="76"/>
      <c r="B45" s="76"/>
      <c r="D45" s="76"/>
      <c r="E45" s="76"/>
      <c r="F45" s="76"/>
      <c r="G45" s="76"/>
      <c r="H45" s="76"/>
      <c r="I45" s="76"/>
      <c r="J45" s="76"/>
      <c r="K45" s="76"/>
      <c r="L45" s="76"/>
      <c r="M45" s="76"/>
      <c r="N45" s="76"/>
      <c r="O45" s="76"/>
      <c r="P45" s="76"/>
      <c r="Q45" s="76"/>
      <c r="R45" s="76"/>
      <c r="S45" s="76"/>
      <c r="T45" s="76"/>
      <c r="U45" s="76"/>
      <c r="V45" s="76"/>
      <c r="W45" s="76"/>
      <c r="X45" s="76"/>
      <c r="Y45" s="76"/>
      <c r="Z45" s="76"/>
      <c r="AA45" s="76"/>
    </row>
    <row r="46">
      <c r="A46" s="76"/>
      <c r="B46" s="76"/>
      <c r="D46" s="76"/>
      <c r="E46" s="76"/>
      <c r="F46" s="76"/>
      <c r="G46" s="76"/>
      <c r="H46" s="76"/>
      <c r="I46" s="76"/>
      <c r="J46" s="76"/>
      <c r="K46" s="76"/>
      <c r="L46" s="76"/>
      <c r="M46" s="76"/>
      <c r="N46" s="76"/>
      <c r="O46" s="76"/>
      <c r="P46" s="76"/>
      <c r="Q46" s="76"/>
      <c r="R46" s="76"/>
      <c r="S46" s="76"/>
      <c r="T46" s="76"/>
      <c r="U46" s="76"/>
      <c r="V46" s="76"/>
      <c r="W46" s="76"/>
      <c r="X46" s="76"/>
      <c r="Y46" s="76"/>
      <c r="Z46" s="76"/>
      <c r="AA46" s="76"/>
    </row>
    <row r="47">
      <c r="A47" s="76"/>
      <c r="B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8">
      <c r="A48" s="76"/>
      <c r="B48" s="76"/>
      <c r="D48" s="76"/>
      <c r="E48" s="76"/>
      <c r="F48" s="76"/>
      <c r="G48" s="76"/>
      <c r="H48" s="76"/>
      <c r="I48" s="76"/>
      <c r="J48" s="76"/>
      <c r="K48" s="76"/>
      <c r="L48" s="76"/>
      <c r="M48" s="76"/>
      <c r="N48" s="76"/>
      <c r="O48" s="76"/>
      <c r="P48" s="76"/>
      <c r="Q48" s="76"/>
      <c r="R48" s="76"/>
      <c r="S48" s="76"/>
      <c r="T48" s="76"/>
      <c r="U48" s="76"/>
      <c r="V48" s="76"/>
      <c r="W48" s="76"/>
      <c r="X48" s="76"/>
      <c r="Y48" s="76"/>
      <c r="Z48" s="76"/>
      <c r="AA48" s="76"/>
    </row>
    <row r="49">
      <c r="A49" s="76"/>
      <c r="B49" s="76"/>
      <c r="D49" s="76"/>
      <c r="E49" s="76"/>
      <c r="F49" s="76"/>
      <c r="G49" s="76"/>
      <c r="H49" s="76"/>
      <c r="I49" s="76"/>
      <c r="J49" s="76"/>
      <c r="K49" s="76"/>
      <c r="L49" s="76"/>
      <c r="M49" s="76"/>
      <c r="N49" s="76"/>
      <c r="O49" s="76"/>
      <c r="P49" s="76"/>
      <c r="Q49" s="76"/>
      <c r="R49" s="76"/>
      <c r="S49" s="76"/>
      <c r="T49" s="76"/>
      <c r="U49" s="76"/>
      <c r="V49" s="76"/>
      <c r="W49" s="76"/>
      <c r="X49" s="76"/>
      <c r="Y49" s="76"/>
      <c r="Z49" s="76"/>
      <c r="AA49" s="76"/>
    </row>
    <row r="50">
      <c r="A50" s="76"/>
      <c r="B50" s="76"/>
      <c r="D50" s="76"/>
      <c r="E50" s="76"/>
      <c r="F50" s="76"/>
      <c r="G50" s="76"/>
      <c r="H50" s="76"/>
      <c r="I50" s="76"/>
      <c r="J50" s="76"/>
      <c r="K50" s="76"/>
      <c r="L50" s="76"/>
      <c r="M50" s="76"/>
      <c r="N50" s="76"/>
      <c r="O50" s="76"/>
      <c r="P50" s="76"/>
      <c r="Q50" s="76"/>
      <c r="R50" s="76"/>
      <c r="S50" s="76"/>
      <c r="T50" s="76"/>
      <c r="U50" s="76"/>
      <c r="V50" s="76"/>
      <c r="W50" s="76"/>
      <c r="X50" s="76"/>
      <c r="Y50" s="76"/>
      <c r="Z50" s="76"/>
      <c r="AA50" s="76"/>
    </row>
    <row r="51">
      <c r="A51" s="76"/>
      <c r="B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c r="A52" s="76"/>
      <c r="B52" s="76"/>
      <c r="D52" s="76"/>
      <c r="E52" s="76"/>
      <c r="F52" s="76"/>
      <c r="G52" s="76"/>
      <c r="H52" s="76"/>
      <c r="I52" s="76"/>
      <c r="J52" s="76"/>
      <c r="K52" s="76"/>
      <c r="L52" s="76"/>
      <c r="M52" s="76"/>
      <c r="N52" s="76"/>
      <c r="O52" s="76"/>
      <c r="P52" s="76"/>
      <c r="Q52" s="76"/>
      <c r="R52" s="76"/>
      <c r="S52" s="76"/>
      <c r="T52" s="76"/>
      <c r="U52" s="76"/>
      <c r="V52" s="76"/>
      <c r="W52" s="76"/>
      <c r="X52" s="76"/>
      <c r="Y52" s="76"/>
      <c r="Z52" s="76"/>
      <c r="AA52" s="76"/>
    </row>
    <row r="53">
      <c r="A53" s="76"/>
      <c r="B53" s="76"/>
      <c r="D53" s="76"/>
      <c r="E53" s="76"/>
      <c r="F53" s="76"/>
      <c r="G53" s="76"/>
      <c r="H53" s="76"/>
      <c r="I53" s="76"/>
      <c r="J53" s="76"/>
      <c r="K53" s="76"/>
      <c r="L53" s="76"/>
      <c r="M53" s="76"/>
      <c r="N53" s="76"/>
      <c r="O53" s="76"/>
      <c r="P53" s="76"/>
      <c r="Q53" s="76"/>
      <c r="R53" s="76"/>
      <c r="S53" s="76"/>
      <c r="T53" s="76"/>
      <c r="U53" s="76"/>
      <c r="V53" s="76"/>
      <c r="W53" s="76"/>
      <c r="X53" s="76"/>
      <c r="Y53" s="76"/>
      <c r="Z53" s="76"/>
      <c r="AA53" s="76"/>
    </row>
    <row r="54">
      <c r="A54" s="76"/>
      <c r="B54" s="76"/>
      <c r="D54" s="76"/>
      <c r="E54" s="76"/>
      <c r="F54" s="76"/>
      <c r="G54" s="76"/>
      <c r="H54" s="76"/>
      <c r="I54" s="76"/>
      <c r="J54" s="76"/>
      <c r="K54" s="76"/>
      <c r="L54" s="76"/>
      <c r="M54" s="76"/>
      <c r="N54" s="76"/>
      <c r="O54" s="76"/>
      <c r="P54" s="76"/>
      <c r="Q54" s="76"/>
      <c r="R54" s="76"/>
      <c r="S54" s="76"/>
      <c r="T54" s="76"/>
      <c r="U54" s="76"/>
      <c r="V54" s="76"/>
      <c r="W54" s="76"/>
      <c r="X54" s="76"/>
      <c r="Y54" s="76"/>
      <c r="Z54" s="76"/>
      <c r="AA54" s="76"/>
    </row>
    <row r="55">
      <c r="A55" s="76"/>
      <c r="B55" s="76"/>
      <c r="D55" s="76"/>
      <c r="E55" s="76"/>
      <c r="F55" s="76"/>
      <c r="G55" s="76"/>
      <c r="H55" s="76"/>
      <c r="I55" s="76"/>
      <c r="J55" s="76"/>
      <c r="K55" s="76"/>
      <c r="L55" s="76"/>
      <c r="M55" s="76"/>
      <c r="N55" s="76"/>
      <c r="O55" s="76"/>
      <c r="P55" s="76"/>
      <c r="Q55" s="76"/>
      <c r="R55" s="76"/>
      <c r="S55" s="76"/>
      <c r="T55" s="76"/>
      <c r="U55" s="76"/>
      <c r="V55" s="76"/>
      <c r="W55" s="76"/>
      <c r="X55" s="76"/>
      <c r="Y55" s="76"/>
      <c r="Z55" s="76"/>
      <c r="AA55" s="76"/>
    </row>
    <row r="56">
      <c r="A56" s="76"/>
      <c r="B56" s="76"/>
      <c r="D56" s="76"/>
      <c r="E56" s="76"/>
      <c r="F56" s="76"/>
      <c r="G56" s="76"/>
      <c r="H56" s="76"/>
      <c r="I56" s="76"/>
      <c r="J56" s="76"/>
      <c r="K56" s="76"/>
      <c r="L56" s="76"/>
      <c r="M56" s="76"/>
      <c r="N56" s="76"/>
      <c r="O56" s="76"/>
      <c r="P56" s="76"/>
      <c r="Q56" s="76"/>
      <c r="R56" s="76"/>
      <c r="S56" s="76"/>
      <c r="T56" s="76"/>
      <c r="U56" s="76"/>
      <c r="V56" s="76"/>
      <c r="W56" s="76"/>
      <c r="X56" s="76"/>
      <c r="Y56" s="76"/>
      <c r="Z56" s="76"/>
      <c r="AA56" s="76"/>
    </row>
    <row r="57">
      <c r="A57" s="76"/>
      <c r="B57" s="76"/>
      <c r="D57" s="76"/>
      <c r="E57" s="76"/>
      <c r="F57" s="76"/>
      <c r="G57" s="76"/>
      <c r="H57" s="76"/>
      <c r="I57" s="76"/>
      <c r="J57" s="76"/>
      <c r="K57" s="76"/>
      <c r="L57" s="76"/>
      <c r="M57" s="76"/>
      <c r="N57" s="76"/>
      <c r="O57" s="76"/>
      <c r="P57" s="76"/>
      <c r="Q57" s="76"/>
      <c r="R57" s="76"/>
      <c r="S57" s="76"/>
      <c r="T57" s="76"/>
      <c r="U57" s="76"/>
      <c r="V57" s="76"/>
      <c r="W57" s="76"/>
      <c r="X57" s="76"/>
      <c r="Y57" s="76"/>
      <c r="Z57" s="76"/>
      <c r="AA57" s="76"/>
    </row>
    <row r="58">
      <c r="A58" s="76"/>
      <c r="B58" s="76"/>
      <c r="D58" s="76"/>
      <c r="E58" s="76"/>
      <c r="F58" s="76"/>
      <c r="G58" s="76"/>
      <c r="H58" s="76"/>
      <c r="I58" s="76"/>
      <c r="J58" s="76"/>
      <c r="K58" s="76"/>
      <c r="L58" s="76"/>
      <c r="M58" s="76"/>
      <c r="N58" s="76"/>
      <c r="O58" s="76"/>
      <c r="P58" s="76"/>
      <c r="Q58" s="76"/>
      <c r="R58" s="76"/>
      <c r="S58" s="76"/>
      <c r="T58" s="76"/>
      <c r="U58" s="76"/>
      <c r="V58" s="76"/>
      <c r="W58" s="76"/>
      <c r="X58" s="76"/>
      <c r="Y58" s="76"/>
      <c r="Z58" s="76"/>
      <c r="AA58" s="76"/>
    </row>
    <row r="59">
      <c r="A59" s="76"/>
      <c r="B59" s="76"/>
      <c r="D59" s="76"/>
      <c r="E59" s="76"/>
      <c r="F59" s="76"/>
      <c r="G59" s="76"/>
      <c r="H59" s="76"/>
      <c r="I59" s="76"/>
      <c r="J59" s="76"/>
      <c r="K59" s="76"/>
      <c r="L59" s="76"/>
      <c r="M59" s="76"/>
      <c r="N59" s="76"/>
      <c r="O59" s="76"/>
      <c r="P59" s="76"/>
      <c r="Q59" s="76"/>
      <c r="R59" s="76"/>
      <c r="S59" s="76"/>
      <c r="T59" s="76"/>
      <c r="U59" s="76"/>
      <c r="V59" s="76"/>
      <c r="W59" s="76"/>
      <c r="X59" s="76"/>
      <c r="Y59" s="76"/>
      <c r="Z59" s="76"/>
      <c r="AA59" s="76"/>
    </row>
    <row r="60">
      <c r="A60" s="76"/>
      <c r="B60" s="76"/>
      <c r="D60" s="76"/>
      <c r="E60" s="76"/>
      <c r="F60" s="76"/>
      <c r="G60" s="76"/>
      <c r="H60" s="76"/>
      <c r="I60" s="76"/>
      <c r="J60" s="76"/>
      <c r="K60" s="76"/>
      <c r="L60" s="76"/>
      <c r="M60" s="76"/>
      <c r="N60" s="76"/>
      <c r="O60" s="76"/>
      <c r="P60" s="76"/>
      <c r="Q60" s="76"/>
      <c r="R60" s="76"/>
      <c r="S60" s="76"/>
      <c r="T60" s="76"/>
      <c r="U60" s="76"/>
      <c r="V60" s="76"/>
      <c r="W60" s="76"/>
      <c r="X60" s="76"/>
      <c r="Y60" s="76"/>
      <c r="Z60" s="76"/>
      <c r="AA60" s="76"/>
    </row>
    <row r="61">
      <c r="A61" s="76"/>
      <c r="B61" s="76"/>
      <c r="D61" s="76"/>
      <c r="E61" s="76"/>
      <c r="F61" s="76"/>
      <c r="G61" s="76"/>
      <c r="H61" s="76"/>
      <c r="I61" s="76"/>
      <c r="J61" s="76"/>
      <c r="K61" s="76"/>
      <c r="L61" s="76"/>
      <c r="M61" s="76"/>
      <c r="N61" s="76"/>
      <c r="O61" s="76"/>
      <c r="P61" s="76"/>
      <c r="Q61" s="76"/>
      <c r="R61" s="76"/>
      <c r="S61" s="76"/>
      <c r="T61" s="76"/>
      <c r="U61" s="76"/>
      <c r="V61" s="76"/>
      <c r="W61" s="76"/>
      <c r="X61" s="76"/>
      <c r="Y61" s="76"/>
      <c r="Z61" s="76"/>
      <c r="AA61" s="76"/>
    </row>
    <row r="62">
      <c r="A62" s="76"/>
      <c r="B62" s="76"/>
      <c r="D62" s="76"/>
      <c r="E62" s="76"/>
      <c r="F62" s="76"/>
      <c r="G62" s="76"/>
      <c r="H62" s="76"/>
      <c r="I62" s="76"/>
      <c r="J62" s="76"/>
      <c r="K62" s="76"/>
      <c r="L62" s="76"/>
      <c r="M62" s="76"/>
      <c r="N62" s="76"/>
      <c r="O62" s="76"/>
      <c r="P62" s="76"/>
      <c r="Q62" s="76"/>
      <c r="R62" s="76"/>
      <c r="S62" s="76"/>
      <c r="T62" s="76"/>
      <c r="U62" s="76"/>
      <c r="V62" s="76"/>
      <c r="W62" s="76"/>
      <c r="X62" s="76"/>
      <c r="Y62" s="76"/>
      <c r="Z62" s="76"/>
      <c r="AA62" s="76"/>
    </row>
    <row r="63">
      <c r="A63" s="76"/>
      <c r="B63" s="76"/>
      <c r="D63" s="76"/>
      <c r="E63" s="76"/>
      <c r="F63" s="76"/>
      <c r="G63" s="76"/>
      <c r="H63" s="76"/>
      <c r="I63" s="76"/>
      <c r="J63" s="76"/>
      <c r="K63" s="76"/>
      <c r="L63" s="76"/>
      <c r="M63" s="76"/>
      <c r="N63" s="76"/>
      <c r="O63" s="76"/>
      <c r="P63" s="76"/>
      <c r="Q63" s="76"/>
      <c r="R63" s="76"/>
      <c r="S63" s="76"/>
      <c r="T63" s="76"/>
      <c r="U63" s="76"/>
      <c r="V63" s="76"/>
      <c r="W63" s="76"/>
      <c r="X63" s="76"/>
      <c r="Y63" s="76"/>
      <c r="Z63" s="76"/>
      <c r="AA63" s="76"/>
    </row>
    <row r="64">
      <c r="A64" s="76"/>
      <c r="B64" s="76"/>
      <c r="D64" s="76"/>
      <c r="E64" s="76"/>
      <c r="F64" s="76"/>
      <c r="G64" s="76"/>
      <c r="H64" s="76"/>
      <c r="I64" s="76"/>
      <c r="J64" s="76"/>
      <c r="K64" s="76"/>
      <c r="L64" s="76"/>
      <c r="M64" s="76"/>
      <c r="N64" s="76"/>
      <c r="O64" s="76"/>
      <c r="P64" s="76"/>
      <c r="Q64" s="76"/>
      <c r="R64" s="76"/>
      <c r="S64" s="76"/>
      <c r="T64" s="76"/>
      <c r="U64" s="76"/>
      <c r="V64" s="76"/>
      <c r="W64" s="76"/>
      <c r="X64" s="76"/>
      <c r="Y64" s="76"/>
      <c r="Z64" s="76"/>
      <c r="AA64" s="76"/>
    </row>
    <row r="65">
      <c r="A65" s="76"/>
      <c r="B65" s="76"/>
      <c r="D65" s="76"/>
      <c r="E65" s="76"/>
      <c r="F65" s="76"/>
      <c r="G65" s="76"/>
      <c r="H65" s="76"/>
      <c r="I65" s="76"/>
      <c r="J65" s="76"/>
      <c r="K65" s="76"/>
      <c r="L65" s="76"/>
      <c r="M65" s="76"/>
      <c r="N65" s="76"/>
      <c r="O65" s="76"/>
      <c r="P65" s="76"/>
      <c r="Q65" s="76"/>
      <c r="R65" s="76"/>
      <c r="S65" s="76"/>
      <c r="T65" s="76"/>
      <c r="U65" s="76"/>
      <c r="V65" s="76"/>
      <c r="W65" s="76"/>
      <c r="X65" s="76"/>
      <c r="Y65" s="76"/>
      <c r="Z65" s="76"/>
      <c r="AA65" s="76"/>
    </row>
    <row r="66">
      <c r="A66" s="76"/>
      <c r="B66" s="76"/>
      <c r="D66" s="76"/>
      <c r="E66" s="76"/>
      <c r="F66" s="76"/>
      <c r="G66" s="76"/>
      <c r="H66" s="76"/>
      <c r="I66" s="76"/>
      <c r="J66" s="76"/>
      <c r="K66" s="76"/>
      <c r="L66" s="76"/>
      <c r="M66" s="76"/>
      <c r="N66" s="76"/>
      <c r="O66" s="76"/>
      <c r="P66" s="76"/>
      <c r="Q66" s="76"/>
      <c r="R66" s="76"/>
      <c r="S66" s="76"/>
      <c r="T66" s="76"/>
      <c r="U66" s="76"/>
      <c r="V66" s="76"/>
      <c r="W66" s="76"/>
      <c r="X66" s="76"/>
      <c r="Y66" s="76"/>
      <c r="Z66" s="76"/>
      <c r="AA66" s="76"/>
    </row>
    <row r="67">
      <c r="A67" s="76"/>
      <c r="B67" s="76"/>
      <c r="D67" s="76"/>
      <c r="E67" s="76"/>
      <c r="F67" s="76"/>
      <c r="G67" s="76"/>
      <c r="H67" s="76"/>
      <c r="I67" s="76"/>
      <c r="J67" s="76"/>
      <c r="K67" s="76"/>
      <c r="L67" s="76"/>
      <c r="M67" s="76"/>
      <c r="N67" s="76"/>
      <c r="O67" s="76"/>
      <c r="P67" s="76"/>
      <c r="Q67" s="76"/>
      <c r="R67" s="76"/>
      <c r="S67" s="76"/>
      <c r="T67" s="76"/>
      <c r="U67" s="76"/>
      <c r="V67" s="76"/>
      <c r="W67" s="76"/>
      <c r="X67" s="76"/>
      <c r="Y67" s="76"/>
      <c r="Z67" s="76"/>
      <c r="AA67" s="76"/>
    </row>
    <row r="68">
      <c r="A68" s="76"/>
      <c r="B68" s="76"/>
      <c r="D68" s="76"/>
      <c r="E68" s="76"/>
      <c r="F68" s="76"/>
      <c r="G68" s="76"/>
      <c r="H68" s="76"/>
      <c r="I68" s="76"/>
      <c r="J68" s="76"/>
      <c r="K68" s="76"/>
      <c r="L68" s="76"/>
      <c r="M68" s="76"/>
      <c r="N68" s="76"/>
      <c r="O68" s="76"/>
      <c r="P68" s="76"/>
      <c r="Q68" s="76"/>
      <c r="R68" s="76"/>
      <c r="S68" s="76"/>
      <c r="T68" s="76"/>
      <c r="U68" s="76"/>
      <c r="V68" s="76"/>
      <c r="W68" s="76"/>
      <c r="X68" s="76"/>
      <c r="Y68" s="76"/>
      <c r="Z68" s="76"/>
      <c r="AA68" s="76"/>
    </row>
    <row r="69">
      <c r="A69" s="76"/>
      <c r="B69" s="76"/>
      <c r="D69" s="76"/>
      <c r="E69" s="76"/>
      <c r="F69" s="76"/>
      <c r="G69" s="76"/>
      <c r="H69" s="76"/>
      <c r="I69" s="76"/>
      <c r="J69" s="76"/>
      <c r="K69" s="76"/>
      <c r="L69" s="76"/>
      <c r="M69" s="76"/>
      <c r="N69" s="76"/>
      <c r="O69" s="76"/>
      <c r="P69" s="76"/>
      <c r="Q69" s="76"/>
      <c r="R69" s="76"/>
      <c r="S69" s="76"/>
      <c r="T69" s="76"/>
      <c r="U69" s="76"/>
      <c r="V69" s="76"/>
      <c r="W69" s="76"/>
      <c r="X69" s="76"/>
      <c r="Y69" s="76"/>
      <c r="Z69" s="76"/>
      <c r="AA69" s="76"/>
    </row>
    <row r="70">
      <c r="F70" s="76"/>
      <c r="G70" s="76"/>
      <c r="H70" s="76"/>
      <c r="I70" s="76"/>
      <c r="J70" s="76"/>
    </row>
    <row r="71">
      <c r="F71" s="76"/>
      <c r="G71" s="76"/>
      <c r="H71" s="76"/>
      <c r="I71" s="76"/>
      <c r="J71" s="76"/>
    </row>
    <row r="72">
      <c r="F72" s="76"/>
      <c r="G72" s="76"/>
      <c r="H72" s="76"/>
      <c r="I72" s="76"/>
      <c r="J72" s="76"/>
    </row>
    <row r="73">
      <c r="F73" s="76"/>
      <c r="G73" s="76"/>
      <c r="H73" s="76"/>
      <c r="I73" s="76"/>
      <c r="J73" s="76"/>
    </row>
    <row r="74">
      <c r="F74" s="76"/>
      <c r="G74" s="76"/>
      <c r="H74" s="76"/>
      <c r="I74" s="76"/>
      <c r="J74" s="76"/>
    </row>
    <row r="75">
      <c r="F75" s="76"/>
      <c r="G75" s="76"/>
      <c r="H75" s="76"/>
      <c r="I75" s="76"/>
      <c r="J75" s="76"/>
    </row>
    <row r="76">
      <c r="F76" s="76"/>
      <c r="G76" s="76"/>
      <c r="H76" s="76"/>
      <c r="I76" s="76"/>
      <c r="J76" s="76"/>
    </row>
    <row r="77">
      <c r="F77" s="76"/>
      <c r="G77" s="76"/>
      <c r="H77" s="76"/>
      <c r="I77" s="76"/>
      <c r="J77" s="76"/>
    </row>
    <row r="78">
      <c r="F78" s="76"/>
      <c r="G78" s="76"/>
      <c r="H78" s="76"/>
      <c r="I78" s="76"/>
      <c r="J78" s="76"/>
    </row>
    <row r="79">
      <c r="F79" s="76"/>
      <c r="G79" s="76"/>
      <c r="H79" s="76"/>
      <c r="I79" s="76"/>
      <c r="J79" s="76"/>
    </row>
    <row r="80">
      <c r="F80" s="76"/>
      <c r="G80" s="76"/>
      <c r="H80" s="76"/>
      <c r="I80" s="76"/>
      <c r="J80" s="76"/>
    </row>
    <row r="81">
      <c r="F81" s="76"/>
      <c r="G81" s="76"/>
      <c r="H81" s="76"/>
      <c r="I81" s="76"/>
      <c r="J81" s="76"/>
    </row>
    <row r="82">
      <c r="F82" s="76"/>
      <c r="G82" s="76"/>
      <c r="H82" s="76"/>
      <c r="I82" s="76"/>
      <c r="J82" s="76"/>
    </row>
    <row r="83">
      <c r="F83" s="76"/>
      <c r="G83" s="76"/>
      <c r="H83" s="76"/>
      <c r="I83" s="76"/>
      <c r="J83" s="76"/>
    </row>
    <row r="84">
      <c r="F84" s="76"/>
      <c r="G84" s="76"/>
      <c r="H84" s="76"/>
      <c r="I84" s="76"/>
      <c r="J84" s="76"/>
    </row>
    <row r="85">
      <c r="F85" s="76"/>
      <c r="G85" s="76"/>
      <c r="H85" s="76"/>
      <c r="I85" s="76"/>
      <c r="J85" s="76"/>
    </row>
    <row r="86">
      <c r="F86" s="76"/>
      <c r="G86" s="76"/>
      <c r="H86" s="76"/>
      <c r="I86" s="76"/>
      <c r="J86" s="76"/>
    </row>
    <row r="87">
      <c r="F87" s="76"/>
      <c r="G87" s="76"/>
      <c r="H87" s="76"/>
      <c r="I87" s="76"/>
      <c r="J87" s="76"/>
    </row>
    <row r="88">
      <c r="F88" s="76"/>
      <c r="G88" s="76"/>
      <c r="H88" s="76"/>
      <c r="I88" s="76"/>
      <c r="J88" s="76"/>
    </row>
    <row r="89">
      <c r="F89" s="76"/>
      <c r="G89" s="76"/>
      <c r="H89" s="76"/>
      <c r="I89" s="76"/>
      <c r="J89" s="76"/>
    </row>
    <row r="90">
      <c r="F90" s="76"/>
      <c r="G90" s="76"/>
      <c r="H90" s="76"/>
      <c r="I90" s="76"/>
      <c r="J90" s="76"/>
    </row>
    <row r="91">
      <c r="F91" s="76"/>
      <c r="G91" s="76"/>
      <c r="H91" s="76"/>
      <c r="I91" s="76"/>
      <c r="J91" s="76"/>
    </row>
    <row r="92">
      <c r="F92" s="76"/>
      <c r="G92" s="76"/>
      <c r="H92" s="76"/>
      <c r="I92" s="76"/>
      <c r="J92" s="76"/>
    </row>
    <row r="93">
      <c r="F93" s="76"/>
      <c r="G93" s="76"/>
      <c r="H93" s="76"/>
      <c r="I93" s="76"/>
      <c r="J93" s="76"/>
    </row>
    <row r="94">
      <c r="F94" s="76"/>
      <c r="G94" s="76"/>
      <c r="H94" s="76"/>
      <c r="I94" s="76"/>
      <c r="J94" s="76"/>
    </row>
    <row r="95">
      <c r="F95" s="76"/>
      <c r="G95" s="76"/>
      <c r="H95" s="76"/>
      <c r="I95" s="76"/>
      <c r="J95" s="76"/>
    </row>
    <row r="96">
      <c r="F96" s="76"/>
      <c r="G96" s="76"/>
      <c r="H96" s="76"/>
      <c r="I96" s="76"/>
      <c r="J96" s="76"/>
    </row>
    <row r="97">
      <c r="F97" s="76"/>
      <c r="G97" s="76"/>
      <c r="H97" s="76"/>
      <c r="I97" s="76"/>
      <c r="J97" s="76"/>
    </row>
    <row r="98">
      <c r="F98" s="76"/>
      <c r="G98" s="76"/>
      <c r="H98" s="76"/>
      <c r="I98" s="76"/>
      <c r="J98" s="76"/>
    </row>
    <row r="99">
      <c r="F99" s="76"/>
      <c r="G99" s="76"/>
      <c r="H99" s="76"/>
      <c r="I99" s="76"/>
      <c r="J99" s="76"/>
    </row>
    <row r="100">
      <c r="F100" s="76"/>
      <c r="G100" s="76"/>
      <c r="H100" s="76"/>
      <c r="I100" s="76"/>
      <c r="J100" s="76"/>
    </row>
    <row r="101">
      <c r="F101" s="76"/>
      <c r="G101" s="76"/>
      <c r="H101" s="76"/>
      <c r="I101" s="76"/>
      <c r="J101" s="76"/>
    </row>
    <row r="102">
      <c r="F102" s="76"/>
      <c r="G102" s="76"/>
      <c r="H102" s="76"/>
      <c r="I102" s="76"/>
      <c r="J102" s="76"/>
    </row>
    <row r="103">
      <c r="F103" s="76"/>
      <c r="G103" s="76"/>
      <c r="H103" s="76"/>
      <c r="I103" s="76"/>
      <c r="J103" s="76"/>
    </row>
    <row r="104">
      <c r="F104" s="76"/>
      <c r="G104" s="76"/>
      <c r="H104" s="76"/>
      <c r="I104" s="76"/>
      <c r="J104" s="76"/>
    </row>
    <row r="105">
      <c r="F105" s="76"/>
      <c r="G105" s="76"/>
      <c r="H105" s="76"/>
      <c r="I105" s="76"/>
      <c r="J105" s="76"/>
    </row>
    <row r="106">
      <c r="F106" s="76"/>
      <c r="G106" s="76"/>
      <c r="H106" s="76"/>
      <c r="I106" s="76"/>
      <c r="J106" s="76"/>
    </row>
    <row r="107">
      <c r="F107" s="76"/>
      <c r="G107" s="76"/>
      <c r="H107" s="76"/>
      <c r="I107" s="76"/>
      <c r="J107" s="76"/>
    </row>
    <row r="108">
      <c r="F108" s="76"/>
      <c r="G108" s="76"/>
      <c r="H108" s="76"/>
      <c r="I108" s="76"/>
      <c r="J108" s="76"/>
    </row>
    <row r="109">
      <c r="F109" s="76"/>
      <c r="G109" s="76"/>
      <c r="H109" s="76"/>
      <c r="I109" s="76"/>
      <c r="J109" s="76"/>
    </row>
    <row r="110">
      <c r="F110" s="76"/>
      <c r="G110" s="76"/>
      <c r="H110" s="76"/>
      <c r="I110" s="76"/>
      <c r="J110" s="76"/>
    </row>
    <row r="111">
      <c r="F111" s="76"/>
      <c r="G111" s="76"/>
      <c r="H111" s="76"/>
      <c r="I111" s="76"/>
      <c r="J111" s="76"/>
    </row>
    <row r="112">
      <c r="F112" s="76"/>
      <c r="G112" s="76"/>
      <c r="H112" s="76"/>
      <c r="I112" s="76"/>
      <c r="J112" s="76"/>
    </row>
    <row r="113">
      <c r="F113" s="76"/>
      <c r="G113" s="76"/>
      <c r="H113" s="76"/>
      <c r="I113" s="76"/>
      <c r="J113" s="76"/>
    </row>
    <row r="114">
      <c r="F114" s="76"/>
      <c r="G114" s="76"/>
      <c r="H114" s="76"/>
      <c r="I114" s="76"/>
      <c r="J114" s="76"/>
    </row>
    <row r="115">
      <c r="F115" s="76"/>
      <c r="G115" s="76"/>
      <c r="H115" s="76"/>
      <c r="I115" s="76"/>
      <c r="J115" s="76"/>
    </row>
    <row r="116">
      <c r="F116" s="76"/>
      <c r="G116" s="76"/>
      <c r="H116" s="76"/>
      <c r="I116" s="76"/>
      <c r="J116" s="76"/>
    </row>
    <row r="117">
      <c r="F117" s="76"/>
      <c r="G117" s="76"/>
      <c r="H117" s="76"/>
      <c r="I117" s="76"/>
      <c r="J117" s="76"/>
    </row>
    <row r="118">
      <c r="F118" s="76"/>
      <c r="G118" s="76"/>
      <c r="H118" s="76"/>
      <c r="I118" s="76"/>
      <c r="J118" s="76"/>
    </row>
    <row r="119">
      <c r="F119" s="76"/>
      <c r="G119" s="76"/>
      <c r="H119" s="76"/>
      <c r="I119" s="76"/>
      <c r="J119" s="76"/>
    </row>
    <row r="120">
      <c r="F120" s="76"/>
      <c r="G120" s="76"/>
      <c r="H120" s="76"/>
      <c r="I120" s="76"/>
      <c r="J120" s="76"/>
    </row>
    <row r="121">
      <c r="F121" s="76"/>
      <c r="G121" s="76"/>
      <c r="H121" s="76"/>
      <c r="I121" s="76"/>
      <c r="J121" s="76"/>
    </row>
    <row r="122">
      <c r="F122" s="76"/>
      <c r="G122" s="76"/>
      <c r="H122" s="76"/>
      <c r="I122" s="76"/>
      <c r="J122" s="76"/>
    </row>
    <row r="123">
      <c r="F123" s="76"/>
      <c r="G123" s="76"/>
      <c r="H123" s="76"/>
      <c r="I123" s="76"/>
      <c r="J123" s="76"/>
    </row>
    <row r="124">
      <c r="F124" s="76"/>
      <c r="G124" s="76"/>
      <c r="H124" s="76"/>
      <c r="I124" s="76"/>
      <c r="J124" s="76"/>
    </row>
    <row r="125">
      <c r="F125" s="76"/>
      <c r="G125" s="76"/>
      <c r="H125" s="76"/>
      <c r="I125" s="76"/>
      <c r="J125" s="76"/>
    </row>
    <row r="126">
      <c r="F126" s="76"/>
      <c r="G126" s="76"/>
      <c r="H126" s="76"/>
      <c r="I126" s="76"/>
      <c r="J126" s="76"/>
    </row>
    <row r="127">
      <c r="F127" s="76"/>
      <c r="G127" s="76"/>
      <c r="H127" s="76"/>
      <c r="I127" s="76"/>
      <c r="J127" s="76"/>
    </row>
    <row r="128">
      <c r="F128" s="76"/>
      <c r="G128" s="76"/>
      <c r="H128" s="76"/>
      <c r="I128" s="76"/>
      <c r="J128" s="76"/>
    </row>
    <row r="129">
      <c r="F129" s="76"/>
      <c r="G129" s="76"/>
      <c r="H129" s="76"/>
      <c r="I129" s="76"/>
      <c r="J129" s="76"/>
    </row>
    <row r="130">
      <c r="F130" s="76"/>
      <c r="G130" s="76"/>
      <c r="H130" s="76"/>
      <c r="I130" s="76"/>
      <c r="J130" s="76"/>
    </row>
    <row r="131">
      <c r="F131" s="76"/>
      <c r="G131" s="76"/>
      <c r="H131" s="76"/>
      <c r="I131" s="76"/>
      <c r="J131" s="76"/>
    </row>
    <row r="132">
      <c r="F132" s="76"/>
      <c r="G132" s="76"/>
      <c r="H132" s="76"/>
      <c r="I132" s="76"/>
      <c r="J132" s="76"/>
    </row>
    <row r="133">
      <c r="F133" s="76"/>
      <c r="G133" s="76"/>
      <c r="H133" s="76"/>
      <c r="I133" s="76"/>
      <c r="J133" s="76"/>
    </row>
    <row r="134">
      <c r="F134" s="76"/>
      <c r="G134" s="76"/>
      <c r="H134" s="76"/>
      <c r="I134" s="76"/>
      <c r="J134" s="76"/>
    </row>
    <row r="135">
      <c r="F135" s="76"/>
      <c r="G135" s="76"/>
      <c r="H135" s="76"/>
      <c r="I135" s="76"/>
      <c r="J135" s="76"/>
    </row>
    <row r="136">
      <c r="F136" s="76"/>
      <c r="G136" s="76"/>
      <c r="H136" s="76"/>
      <c r="I136" s="76"/>
      <c r="J136" s="76"/>
    </row>
    <row r="137">
      <c r="F137" s="76"/>
      <c r="G137" s="76"/>
      <c r="H137" s="76"/>
      <c r="I137" s="76"/>
      <c r="J137" s="76"/>
    </row>
    <row r="138">
      <c r="F138" s="76"/>
      <c r="G138" s="76"/>
      <c r="H138" s="76"/>
      <c r="I138" s="76"/>
      <c r="J138" s="76"/>
    </row>
    <row r="139">
      <c r="F139" s="76"/>
      <c r="G139" s="76"/>
      <c r="H139" s="76"/>
      <c r="I139" s="76"/>
      <c r="J139" s="76"/>
    </row>
    <row r="140">
      <c r="F140" s="76"/>
      <c r="G140" s="76"/>
      <c r="H140" s="76"/>
      <c r="I140" s="76"/>
      <c r="J140" s="76"/>
    </row>
    <row r="141">
      <c r="F141" s="76"/>
      <c r="G141" s="76"/>
      <c r="H141" s="76"/>
      <c r="I141" s="76"/>
      <c r="J141" s="76"/>
    </row>
    <row r="142">
      <c r="F142" s="76"/>
      <c r="G142" s="76"/>
      <c r="H142" s="76"/>
      <c r="I142" s="76"/>
      <c r="J142" s="76"/>
    </row>
    <row r="143">
      <c r="F143" s="76"/>
      <c r="G143" s="76"/>
      <c r="H143" s="76"/>
      <c r="I143" s="76"/>
      <c r="J143" s="76"/>
    </row>
    <row r="144">
      <c r="F144" s="76"/>
      <c r="G144" s="76"/>
      <c r="H144" s="76"/>
      <c r="I144" s="76"/>
      <c r="J144" s="76"/>
    </row>
    <row r="145">
      <c r="F145" s="76"/>
      <c r="G145" s="76"/>
      <c r="H145" s="76"/>
      <c r="I145" s="76"/>
      <c r="J145" s="76"/>
    </row>
    <row r="146">
      <c r="F146" s="76"/>
      <c r="G146" s="76"/>
      <c r="H146" s="76"/>
      <c r="I146" s="76"/>
      <c r="J146" s="76"/>
    </row>
    <row r="147">
      <c r="F147" s="76"/>
      <c r="G147" s="76"/>
      <c r="H147" s="76"/>
      <c r="I147" s="76"/>
      <c r="J147" s="76"/>
    </row>
    <row r="148">
      <c r="F148" s="76"/>
      <c r="G148" s="76"/>
      <c r="H148" s="76"/>
      <c r="I148" s="76"/>
      <c r="J148" s="76"/>
    </row>
    <row r="149">
      <c r="F149" s="76"/>
      <c r="G149" s="76"/>
      <c r="H149" s="76"/>
      <c r="I149" s="76"/>
      <c r="J149" s="76"/>
    </row>
    <row r="150">
      <c r="F150" s="76"/>
      <c r="G150" s="76"/>
      <c r="H150" s="76"/>
      <c r="I150" s="76"/>
      <c r="J150" s="76"/>
    </row>
    <row r="151">
      <c r="F151" s="76"/>
      <c r="G151" s="76"/>
      <c r="H151" s="76"/>
      <c r="I151" s="76"/>
      <c r="J151" s="76"/>
    </row>
    <row r="152">
      <c r="F152" s="76"/>
      <c r="G152" s="76"/>
      <c r="H152" s="76"/>
      <c r="I152" s="76"/>
      <c r="J152" s="76"/>
    </row>
    <row r="153">
      <c r="F153" s="76"/>
      <c r="G153" s="76"/>
      <c r="H153" s="76"/>
      <c r="I153" s="76"/>
      <c r="J153" s="76"/>
    </row>
    <row r="154">
      <c r="F154" s="76"/>
      <c r="G154" s="76"/>
      <c r="H154" s="76"/>
      <c r="I154" s="76"/>
      <c r="J154" s="76"/>
    </row>
    <row r="155">
      <c r="F155" s="76"/>
      <c r="G155" s="76"/>
      <c r="H155" s="76"/>
      <c r="I155" s="76"/>
      <c r="J155" s="76"/>
    </row>
    <row r="156">
      <c r="F156" s="76"/>
      <c r="G156" s="76"/>
      <c r="H156" s="76"/>
      <c r="I156" s="76"/>
      <c r="J156" s="76"/>
    </row>
    <row r="157">
      <c r="F157" s="76"/>
      <c r="G157" s="76"/>
      <c r="H157" s="76"/>
      <c r="I157" s="76"/>
      <c r="J157" s="76"/>
    </row>
    <row r="158">
      <c r="F158" s="76"/>
      <c r="G158" s="76"/>
      <c r="H158" s="76"/>
      <c r="I158" s="76"/>
      <c r="J158" s="76"/>
    </row>
    <row r="159">
      <c r="F159" s="76"/>
      <c r="G159" s="76"/>
      <c r="H159" s="76"/>
      <c r="I159" s="76"/>
      <c r="J159" s="76"/>
    </row>
    <row r="160">
      <c r="F160" s="76"/>
      <c r="G160" s="76"/>
      <c r="H160" s="76"/>
      <c r="I160" s="76"/>
      <c r="J160" s="76"/>
    </row>
    <row r="161">
      <c r="F161" s="76"/>
      <c r="G161" s="76"/>
      <c r="H161" s="76"/>
      <c r="I161" s="76"/>
      <c r="J161" s="76"/>
    </row>
    <row r="162">
      <c r="F162" s="76"/>
      <c r="G162" s="76"/>
      <c r="H162" s="76"/>
      <c r="I162" s="76"/>
      <c r="J162" s="76"/>
    </row>
    <row r="163">
      <c r="F163" s="76"/>
      <c r="G163" s="76"/>
      <c r="H163" s="76"/>
      <c r="I163" s="76"/>
      <c r="J163" s="76"/>
    </row>
    <row r="164">
      <c r="F164" s="76"/>
      <c r="G164" s="76"/>
      <c r="H164" s="76"/>
      <c r="I164" s="76"/>
      <c r="J164" s="76"/>
    </row>
    <row r="165">
      <c r="F165" s="76"/>
      <c r="G165" s="76"/>
      <c r="H165" s="76"/>
      <c r="I165" s="76"/>
      <c r="J165" s="76"/>
    </row>
    <row r="166">
      <c r="F166" s="76"/>
      <c r="G166" s="76"/>
      <c r="H166" s="76"/>
      <c r="I166" s="76"/>
      <c r="J166" s="76"/>
    </row>
    <row r="167">
      <c r="F167" s="76"/>
      <c r="G167" s="76"/>
      <c r="H167" s="76"/>
      <c r="I167" s="76"/>
      <c r="J167" s="76"/>
    </row>
    <row r="168">
      <c r="F168" s="76"/>
      <c r="G168" s="76"/>
      <c r="H168" s="76"/>
      <c r="I168" s="76"/>
      <c r="J168" s="76"/>
    </row>
    <row r="169">
      <c r="F169" s="24"/>
      <c r="H169" s="24"/>
      <c r="I169" s="24"/>
      <c r="J169" s="24"/>
    </row>
    <row r="170">
      <c r="F170" s="24"/>
      <c r="H170" s="24"/>
      <c r="I170" s="24"/>
      <c r="J170" s="24"/>
    </row>
    <row r="171">
      <c r="F171" s="24"/>
      <c r="H171" s="24"/>
      <c r="I171" s="24"/>
      <c r="J171" s="24"/>
    </row>
    <row r="172">
      <c r="F172" s="24"/>
      <c r="H172" s="24"/>
      <c r="I172" s="24"/>
      <c r="J172" s="24"/>
    </row>
    <row r="173">
      <c r="F173" s="24"/>
      <c r="H173" s="24"/>
      <c r="I173" s="24"/>
      <c r="J173" s="24"/>
    </row>
    <row r="174">
      <c r="F174" s="24"/>
      <c r="H174" s="24"/>
      <c r="I174" s="24"/>
      <c r="J174" s="24"/>
    </row>
    <row r="175">
      <c r="F175" s="24"/>
      <c r="H175" s="24"/>
      <c r="I175" s="24"/>
      <c r="J175" s="24"/>
    </row>
    <row r="176">
      <c r="F176" s="24"/>
      <c r="H176" s="24"/>
      <c r="I176" s="24"/>
      <c r="J176" s="24"/>
    </row>
    <row r="177">
      <c r="F177" s="24"/>
      <c r="H177" s="24"/>
      <c r="I177" s="24"/>
      <c r="J177" s="24"/>
    </row>
    <row r="178">
      <c r="F178" s="24"/>
      <c r="H178" s="24"/>
      <c r="I178" s="24"/>
      <c r="J178" s="24"/>
    </row>
    <row r="179">
      <c r="F179" s="24"/>
      <c r="H179" s="24"/>
      <c r="I179" s="24"/>
      <c r="J179" s="24"/>
    </row>
    <row r="180">
      <c r="F180" s="24"/>
      <c r="H180" s="24"/>
      <c r="I180" s="24"/>
      <c r="J180" s="24"/>
    </row>
    <row r="181">
      <c r="F181" s="24"/>
      <c r="H181" s="24"/>
      <c r="I181" s="24"/>
      <c r="J181" s="24"/>
    </row>
    <row r="182">
      <c r="F182" s="24"/>
      <c r="H182" s="24"/>
      <c r="I182" s="24"/>
      <c r="J182" s="24"/>
    </row>
    <row r="183">
      <c r="F183" s="24"/>
      <c r="H183" s="24"/>
      <c r="I183" s="24"/>
      <c r="J183" s="24"/>
    </row>
    <row r="184">
      <c r="F184" s="24"/>
      <c r="H184" s="24"/>
      <c r="I184" s="24"/>
      <c r="J184" s="24"/>
    </row>
    <row r="185">
      <c r="F185" s="24"/>
      <c r="H185" s="24"/>
      <c r="I185" s="24"/>
      <c r="J185" s="24"/>
    </row>
    <row r="186">
      <c r="F186" s="24"/>
      <c r="H186" s="24"/>
      <c r="I186" s="24"/>
      <c r="J186" s="24"/>
    </row>
    <row r="187">
      <c r="F187" s="24"/>
      <c r="H187" s="24"/>
      <c r="I187" s="24"/>
      <c r="J187" s="24"/>
    </row>
    <row r="188">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row r="988">
      <c r="C988" s="24"/>
      <c r="F988" s="24"/>
      <c r="H988" s="24"/>
      <c r="I988" s="24"/>
      <c r="J988" s="24"/>
    </row>
    <row r="989">
      <c r="C989" s="24"/>
      <c r="F989" s="24"/>
      <c r="H989" s="24"/>
      <c r="I989" s="24"/>
      <c r="J989" s="24"/>
    </row>
    <row r="990">
      <c r="C990" s="24"/>
      <c r="F990" s="24"/>
      <c r="H990" s="24"/>
      <c r="I990" s="24"/>
      <c r="J990" s="24"/>
    </row>
    <row r="991">
      <c r="C991" s="24"/>
      <c r="F991" s="24"/>
      <c r="H991" s="24"/>
      <c r="I991" s="24"/>
      <c r="J991" s="24"/>
    </row>
    <row r="992">
      <c r="C992" s="24"/>
      <c r="F992" s="24"/>
      <c r="H992" s="24"/>
      <c r="I992" s="24"/>
      <c r="J992" s="24"/>
    </row>
    <row r="993">
      <c r="C993" s="24"/>
      <c r="F993" s="24"/>
      <c r="H993" s="24"/>
      <c r="I993" s="24"/>
      <c r="J993" s="24"/>
    </row>
    <row r="994">
      <c r="C994" s="24"/>
      <c r="F994" s="24"/>
      <c r="H994" s="24"/>
      <c r="I994" s="24"/>
      <c r="J994" s="24"/>
    </row>
    <row r="995">
      <c r="C995" s="24"/>
      <c r="F995" s="24"/>
      <c r="H995" s="24"/>
      <c r="I995" s="24"/>
      <c r="J995" s="24"/>
    </row>
    <row r="996">
      <c r="C996" s="24"/>
      <c r="F996" s="24"/>
      <c r="H996" s="24"/>
      <c r="I996" s="24"/>
      <c r="J996" s="24"/>
    </row>
    <row r="997">
      <c r="C997" s="24"/>
      <c r="F997" s="24"/>
      <c r="H997" s="24"/>
      <c r="I997" s="24"/>
      <c r="J997" s="24"/>
    </row>
    <row r="998">
      <c r="C998" s="24"/>
      <c r="F998" s="24"/>
      <c r="H998" s="24"/>
      <c r="I998" s="24"/>
      <c r="J998" s="24"/>
    </row>
    <row r="999">
      <c r="C999" s="24"/>
      <c r="F999" s="24"/>
      <c r="H999" s="24"/>
      <c r="I999" s="24"/>
      <c r="J999" s="24"/>
    </row>
    <row r="1000">
      <c r="C1000" s="24"/>
      <c r="F1000" s="24"/>
      <c r="H1000" s="24"/>
      <c r="I1000" s="24"/>
      <c r="J1000" s="24"/>
    </row>
    <row r="1001">
      <c r="C1001" s="24"/>
      <c r="F1001" s="24"/>
      <c r="H1001" s="24"/>
      <c r="I1001" s="24"/>
      <c r="J1001" s="24"/>
    </row>
    <row r="1002">
      <c r="C1002" s="24"/>
      <c r="F1002" s="24"/>
      <c r="H1002" s="24"/>
      <c r="I1002" s="24"/>
      <c r="J1002" s="24"/>
    </row>
    <row r="1003">
      <c r="C1003" s="24"/>
      <c r="F1003" s="24"/>
      <c r="H1003" s="24"/>
      <c r="I1003" s="24"/>
      <c r="J1003" s="24"/>
    </row>
  </sheetData>
  <mergeCells count="1">
    <mergeCell ref="P1:Q1"/>
  </mergeCells>
  <conditionalFormatting sqref="H1:H18 H169:H1003">
    <cfRule type="cellIs" dxfId="0" priority="1" operator="equal">
      <formula>"Y"</formula>
    </cfRule>
  </conditionalFormatting>
  <conditionalFormatting sqref="H1:H18 H169:H1003">
    <cfRule type="containsText" dxfId="1" priority="2" operator="containsText" text="N">
      <formula>NOT(ISERROR(SEARCH(("N"),(H1))))</formula>
    </cfRule>
  </conditionalFormatting>
  <dataValidations>
    <dataValidation type="list" allowBlank="1" sqref="C7:C16 I7:I16 C189:C1003 I169:I1003">
      <formula1>"P1,P2,P3,P4,P5"</formula1>
    </dataValidation>
    <dataValidation type="list" allowBlank="1" sqref="F7:F16 J7:J16 F169:F1003 J169:J1003">
      <formula1>BaseData!$A$2:$A$53</formula1>
    </dataValidation>
    <dataValidation type="list" allowBlank="1" sqref="H7:H16 H169:H1003">
      <formula1>"Y,N"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38"/>
    <col customWidth="1" min="4" max="4" width="32.88"/>
    <col customWidth="1" min="6" max="6" width="18.88"/>
    <col customWidth="1" min="10" max="10" width="14.5"/>
    <col customWidth="1" min="12" max="12" width="45.0"/>
  </cols>
  <sheetData>
    <row r="2">
      <c r="F2" s="12" t="s">
        <v>25</v>
      </c>
      <c r="G2" s="1">
        <f>countifs(A:A,"&lt;&gt;NEW",A:A,"&lt;&gt;")-1</f>
        <v>42</v>
      </c>
      <c r="J2" s="8"/>
      <c r="O2" s="9" t="s">
        <v>36</v>
      </c>
      <c r="P2" s="10" t="s">
        <v>37</v>
      </c>
      <c r="Q2" s="11"/>
    </row>
    <row r="3">
      <c r="A3" s="8"/>
      <c r="B3" s="8"/>
      <c r="C3" s="8"/>
      <c r="D3" s="8"/>
      <c r="E3" s="8"/>
      <c r="F3" s="17" t="s">
        <v>41</v>
      </c>
      <c r="G3" s="18">
        <f>countif(H:H,"=Y")</f>
        <v>14</v>
      </c>
      <c r="H3" s="8"/>
      <c r="I3" s="8"/>
      <c r="J3" s="8"/>
      <c r="O3" s="27"/>
      <c r="P3" s="15"/>
      <c r="Q3" s="15"/>
    </row>
    <row r="4">
      <c r="A4" s="8"/>
      <c r="B4" s="8"/>
      <c r="C4" s="8"/>
      <c r="D4" s="8"/>
      <c r="E4" s="8"/>
      <c r="F4" s="17" t="s">
        <v>45</v>
      </c>
      <c r="G4" s="18">
        <f>COUNTIF(A:A,"=NEW")</f>
        <v>0</v>
      </c>
      <c r="H4" s="8"/>
      <c r="I4" s="8"/>
      <c r="J4" s="8"/>
      <c r="O4" s="27"/>
      <c r="P4" s="15"/>
      <c r="Q4" s="15"/>
    </row>
    <row r="5">
      <c r="A5" s="8"/>
      <c r="B5" s="8"/>
      <c r="C5" s="8"/>
      <c r="D5" s="8"/>
      <c r="E5" s="8"/>
      <c r="F5" s="8"/>
      <c r="G5" s="8"/>
      <c r="H5" s="8"/>
      <c r="I5" s="8"/>
      <c r="J5" s="8"/>
      <c r="O5" s="27" t="s">
        <v>163</v>
      </c>
      <c r="P5" s="14" t="s">
        <v>50</v>
      </c>
      <c r="Q5" s="15" t="s">
        <v>51</v>
      </c>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165</v>
      </c>
      <c r="O6" s="27" t="s">
        <v>166</v>
      </c>
      <c r="P6" s="14" t="s">
        <v>65</v>
      </c>
      <c r="Q6" s="15" t="s">
        <v>66</v>
      </c>
    </row>
    <row r="7">
      <c r="A7" s="80" t="s">
        <v>182</v>
      </c>
      <c r="B7" s="80" t="s">
        <v>183</v>
      </c>
      <c r="C7" s="81" t="s">
        <v>169</v>
      </c>
      <c r="D7" s="80" t="s">
        <v>184</v>
      </c>
      <c r="E7" s="80" t="s">
        <v>171</v>
      </c>
      <c r="F7" s="80" t="s">
        <v>173</v>
      </c>
      <c r="G7" s="80" t="s">
        <v>179</v>
      </c>
      <c r="H7" s="19" t="s">
        <v>143</v>
      </c>
      <c r="I7" s="19" t="s">
        <v>169</v>
      </c>
      <c r="J7" s="19" t="s">
        <v>173</v>
      </c>
      <c r="K7" s="25" t="str">
        <f>HYPERLINK("https://maxxton.atlassian.net/browse/QA-28959","QA-28959")</f>
        <v>QA-28959</v>
      </c>
      <c r="L7" s="19" t="s">
        <v>475</v>
      </c>
      <c r="M7" s="8">
        <v>2.0</v>
      </c>
      <c r="O7" s="27"/>
      <c r="P7" s="20" t="s">
        <v>74</v>
      </c>
      <c r="Q7" s="20" t="s">
        <v>75</v>
      </c>
    </row>
    <row r="8">
      <c r="A8" s="80" t="s">
        <v>200</v>
      </c>
      <c r="B8" s="80" t="s">
        <v>201</v>
      </c>
      <c r="C8" s="81" t="s">
        <v>169</v>
      </c>
      <c r="D8" s="80" t="s">
        <v>202</v>
      </c>
      <c r="E8" s="80" t="s">
        <v>171</v>
      </c>
      <c r="F8" s="80" t="s">
        <v>206</v>
      </c>
      <c r="G8" s="80" t="s">
        <v>199</v>
      </c>
      <c r="H8" s="19" t="s">
        <v>143</v>
      </c>
      <c r="I8" s="19" t="s">
        <v>169</v>
      </c>
      <c r="J8" s="19" t="s">
        <v>206</v>
      </c>
      <c r="K8" s="26" t="str">
        <f>HYPERLINK("https://maxxton.atlassian.net/browse/QA-28960","QA-28960")</f>
        <v>QA-28960</v>
      </c>
      <c r="L8" s="19" t="s">
        <v>475</v>
      </c>
      <c r="M8" s="8" t="s">
        <v>172</v>
      </c>
      <c r="O8" s="14"/>
      <c r="P8" s="20"/>
      <c r="Q8" s="20"/>
    </row>
    <row r="9">
      <c r="A9" s="80" t="s">
        <v>196</v>
      </c>
      <c r="B9" s="80" t="s">
        <v>197</v>
      </c>
      <c r="C9" s="81" t="s">
        <v>169</v>
      </c>
      <c r="D9" s="80" t="s">
        <v>198</v>
      </c>
      <c r="E9" s="80" t="s">
        <v>171</v>
      </c>
      <c r="F9" s="80" t="s">
        <v>173</v>
      </c>
      <c r="G9" s="80" t="s">
        <v>199</v>
      </c>
      <c r="H9" s="19" t="s">
        <v>143</v>
      </c>
      <c r="I9" s="19" t="s">
        <v>169</v>
      </c>
      <c r="J9" s="19" t="s">
        <v>206</v>
      </c>
      <c r="K9" s="26" t="str">
        <f>HYPERLINK("https://maxxton.atlassian.net/browse/QA-28961","QA-28961")</f>
        <v>QA-28961</v>
      </c>
      <c r="L9" s="19" t="s">
        <v>475</v>
      </c>
      <c r="M9" s="8">
        <v>1.0</v>
      </c>
      <c r="O9" s="14"/>
      <c r="P9" s="20"/>
      <c r="Q9" s="20"/>
    </row>
    <row r="10">
      <c r="A10" s="82" t="s">
        <v>232</v>
      </c>
      <c r="B10" s="83" t="s">
        <v>233</v>
      </c>
      <c r="C10" s="81" t="s">
        <v>169</v>
      </c>
      <c r="D10" s="82" t="s">
        <v>234</v>
      </c>
      <c r="E10" s="80" t="s">
        <v>171</v>
      </c>
      <c r="F10" s="80" t="s">
        <v>206</v>
      </c>
      <c r="G10" s="80" t="s">
        <v>179</v>
      </c>
      <c r="H10" s="19" t="s">
        <v>143</v>
      </c>
      <c r="I10" s="19" t="s">
        <v>169</v>
      </c>
      <c r="J10" s="19" t="s">
        <v>206</v>
      </c>
      <c r="K10" s="26" t="str">
        <f>HYPERLINK("https://maxxton.atlassian.net/browse/QA-28962","QA-28962")</f>
        <v>QA-28962</v>
      </c>
      <c r="L10" s="19" t="s">
        <v>475</v>
      </c>
      <c r="M10" s="19" t="s">
        <v>235</v>
      </c>
      <c r="N10" s="21"/>
      <c r="O10" s="31"/>
      <c r="P10" s="32"/>
      <c r="Q10" s="32"/>
    </row>
    <row r="11">
      <c r="A11" s="80" t="s">
        <v>203</v>
      </c>
      <c r="B11" s="80" t="s">
        <v>204</v>
      </c>
      <c r="C11" s="81" t="s">
        <v>169</v>
      </c>
      <c r="D11" s="82" t="s">
        <v>205</v>
      </c>
      <c r="E11" s="80" t="s">
        <v>171</v>
      </c>
      <c r="F11" s="80" t="s">
        <v>206</v>
      </c>
      <c r="G11" s="80" t="s">
        <v>187</v>
      </c>
      <c r="H11" s="19" t="s">
        <v>143</v>
      </c>
      <c r="I11" s="19" t="s">
        <v>169</v>
      </c>
      <c r="J11" s="19" t="s">
        <v>173</v>
      </c>
      <c r="K11" s="26" t="str">
        <f>HYPERLINK("https://maxxton.atlassian.net/browse/QA-28963","QA-28963")</f>
        <v>QA-28963</v>
      </c>
      <c r="L11" s="19" t="s">
        <v>475</v>
      </c>
      <c r="M11" s="8">
        <v>1.0</v>
      </c>
      <c r="O11" s="14"/>
      <c r="P11" s="20"/>
      <c r="Q11" s="20"/>
    </row>
    <row r="12">
      <c r="A12" s="80" t="s">
        <v>207</v>
      </c>
      <c r="B12" s="80" t="s">
        <v>208</v>
      </c>
      <c r="C12" s="81" t="s">
        <v>169</v>
      </c>
      <c r="D12" s="82" t="s">
        <v>209</v>
      </c>
      <c r="E12" s="80" t="s">
        <v>171</v>
      </c>
      <c r="F12" s="80" t="s">
        <v>206</v>
      </c>
      <c r="G12" s="80" t="s">
        <v>179</v>
      </c>
      <c r="H12" s="19" t="s">
        <v>143</v>
      </c>
      <c r="I12" s="19" t="s">
        <v>169</v>
      </c>
      <c r="J12" s="19" t="s">
        <v>206</v>
      </c>
      <c r="K12" s="26" t="str">
        <f>HYPERLINK("https://maxxton.atlassian.net/browse/QA-28964","QA-28964")</f>
        <v>QA-28964</v>
      </c>
      <c r="L12" s="19" t="s">
        <v>475</v>
      </c>
      <c r="M12" s="8" t="s">
        <v>172</v>
      </c>
      <c r="O12" s="14"/>
      <c r="P12" s="20"/>
      <c r="Q12" s="20"/>
    </row>
    <row r="13">
      <c r="A13" s="84" t="str">
        <f>HYPERLINK("https://maxxton.atlassian.net/browse/QA-10650","QA-10650")</f>
        <v>QA-10650</v>
      </c>
      <c r="B13" s="80" t="s">
        <v>624</v>
      </c>
      <c r="C13" s="81" t="s">
        <v>169</v>
      </c>
      <c r="D13" s="80" t="s">
        <v>264</v>
      </c>
      <c r="E13" s="80" t="s">
        <v>171</v>
      </c>
      <c r="F13" s="80" t="s">
        <v>206</v>
      </c>
      <c r="G13" s="80" t="s">
        <v>172</v>
      </c>
      <c r="H13" s="19" t="s">
        <v>98</v>
      </c>
      <c r="I13" s="19" t="s">
        <v>169</v>
      </c>
      <c r="J13" s="19" t="s">
        <v>206</v>
      </c>
      <c r="K13" s="26" t="str">
        <f>HYPERLINK("https://maxxton.atlassian.net/browse/QA-24306","QA-24306")</f>
        <v>QA-24306</v>
      </c>
      <c r="L13" s="19" t="s">
        <v>625</v>
      </c>
      <c r="M13" s="8">
        <v>1.0</v>
      </c>
    </row>
    <row r="14">
      <c r="A14" s="84" t="str">
        <f>HYPERLINK("https://maxxton.atlassian.net/browse/QA-11287","QA-11287")</f>
        <v>QA-11287</v>
      </c>
      <c r="B14" s="85" t="s">
        <v>265</v>
      </c>
      <c r="C14" s="81" t="s">
        <v>169</v>
      </c>
      <c r="D14" s="80" t="s">
        <v>266</v>
      </c>
      <c r="E14" s="80" t="s">
        <v>171</v>
      </c>
      <c r="F14" s="80" t="s">
        <v>173</v>
      </c>
      <c r="G14" s="80" t="s">
        <v>199</v>
      </c>
      <c r="H14" s="19" t="s">
        <v>143</v>
      </c>
      <c r="I14" s="19" t="s">
        <v>169</v>
      </c>
      <c r="J14" s="19" t="s">
        <v>173</v>
      </c>
      <c r="K14" s="26" t="str">
        <f>HYPERLINK("https://maxxton.atlassian.net/browse/QA-28965","QA-28965")</f>
        <v>QA-28965</v>
      </c>
      <c r="L14" s="19" t="s">
        <v>475</v>
      </c>
      <c r="M14" s="8">
        <v>1.0</v>
      </c>
    </row>
    <row r="15">
      <c r="A15" s="84" t="str">
        <f>HYPERLINK("https://maxxton.atlassian.net/browse/QA-15098","QA-15098")</f>
        <v>QA-15098</v>
      </c>
      <c r="B15" s="80" t="s">
        <v>269</v>
      </c>
      <c r="C15" s="81" t="s">
        <v>169</v>
      </c>
      <c r="D15" s="80" t="s">
        <v>270</v>
      </c>
      <c r="E15" s="80" t="s">
        <v>171</v>
      </c>
      <c r="F15" s="80" t="s">
        <v>173</v>
      </c>
      <c r="G15" s="80" t="s">
        <v>199</v>
      </c>
      <c r="H15" s="19" t="s">
        <v>98</v>
      </c>
      <c r="I15" s="19" t="s">
        <v>169</v>
      </c>
      <c r="J15" s="19" t="s">
        <v>173</v>
      </c>
      <c r="K15" s="26" t="str">
        <f>HYPERLINK("https://maxxton.atlassian.net/browse/QA-24308","QA-24308")</f>
        <v>QA-24308</v>
      </c>
      <c r="L15" s="19" t="s">
        <v>625</v>
      </c>
      <c r="M15" s="8">
        <v>1.0</v>
      </c>
    </row>
    <row r="16">
      <c r="A16" s="80" t="s">
        <v>167</v>
      </c>
      <c r="B16" s="80" t="s">
        <v>168</v>
      </c>
      <c r="C16" s="81" t="s">
        <v>169</v>
      </c>
      <c r="D16" s="80" t="s">
        <v>170</v>
      </c>
      <c r="E16" s="80" t="s">
        <v>171</v>
      </c>
      <c r="F16" s="80" t="s">
        <v>173</v>
      </c>
      <c r="G16" s="80" t="s">
        <v>172</v>
      </c>
      <c r="H16" s="19" t="s">
        <v>143</v>
      </c>
      <c r="I16" s="19" t="s">
        <v>169</v>
      </c>
      <c r="J16" s="19" t="s">
        <v>173</v>
      </c>
      <c r="K16" s="25" t="str">
        <f>HYPERLINK("https://maxxton.atlassian.net/browse/QA-28966","QA-28966")</f>
        <v>QA-28966</v>
      </c>
      <c r="L16" s="19" t="s">
        <v>475</v>
      </c>
      <c r="M16" s="8">
        <v>2.0</v>
      </c>
      <c r="O16" s="27" t="s">
        <v>175</v>
      </c>
      <c r="P16" s="20" t="s">
        <v>68</v>
      </c>
      <c r="Q16" s="20" t="s">
        <v>69</v>
      </c>
    </row>
    <row r="17">
      <c r="A17" s="80" t="s">
        <v>176</v>
      </c>
      <c r="B17" s="80" t="s">
        <v>177</v>
      </c>
      <c r="C17" s="81" t="s">
        <v>169</v>
      </c>
      <c r="D17" s="80" t="s">
        <v>178</v>
      </c>
      <c r="E17" s="80" t="s">
        <v>171</v>
      </c>
      <c r="F17" s="80" t="s">
        <v>173</v>
      </c>
      <c r="G17" s="80" t="s">
        <v>179</v>
      </c>
      <c r="H17" s="19" t="s">
        <v>143</v>
      </c>
      <c r="I17" s="19" t="s">
        <v>169</v>
      </c>
      <c r="J17" s="19" t="s">
        <v>173</v>
      </c>
      <c r="K17" s="25" t="str">
        <f>HYPERLINK("https://maxxton.atlassian.net/browse/QA-28967","QA-28967")</f>
        <v>QA-28967</v>
      </c>
      <c r="L17" s="19" t="s">
        <v>475</v>
      </c>
      <c r="M17" s="8">
        <v>2.0</v>
      </c>
      <c r="O17" s="27" t="s">
        <v>181</v>
      </c>
      <c r="P17" s="20" t="s">
        <v>71</v>
      </c>
      <c r="Q17" s="20" t="s">
        <v>72</v>
      </c>
    </row>
    <row r="18">
      <c r="A18" s="80" t="s">
        <v>193</v>
      </c>
      <c r="B18" s="80" t="s">
        <v>194</v>
      </c>
      <c r="C18" s="81" t="s">
        <v>169</v>
      </c>
      <c r="D18" s="80" t="s">
        <v>195</v>
      </c>
      <c r="E18" s="80" t="s">
        <v>171</v>
      </c>
      <c r="F18" s="80" t="s">
        <v>173</v>
      </c>
      <c r="G18" s="80" t="s">
        <v>187</v>
      </c>
      <c r="H18" s="19" t="s">
        <v>143</v>
      </c>
      <c r="I18" s="19" t="s">
        <v>169</v>
      </c>
      <c r="J18" s="19" t="s">
        <v>173</v>
      </c>
      <c r="K18" s="26" t="str">
        <f>HYPERLINK("https://maxxton.atlassian.net/browse/QA-28968","QA-28968")</f>
        <v>QA-28968</v>
      </c>
      <c r="L18" s="19" t="s">
        <v>475</v>
      </c>
      <c r="M18" s="8">
        <v>1.0</v>
      </c>
      <c r="P18" s="20"/>
      <c r="Q18" s="20"/>
    </row>
    <row r="19">
      <c r="A19" s="80" t="s">
        <v>211</v>
      </c>
      <c r="B19" s="80" t="s">
        <v>212</v>
      </c>
      <c r="C19" s="81" t="s">
        <v>169</v>
      </c>
      <c r="D19" s="82" t="s">
        <v>213</v>
      </c>
      <c r="E19" s="80" t="s">
        <v>171</v>
      </c>
      <c r="F19" s="80" t="s">
        <v>173</v>
      </c>
      <c r="G19" s="80" t="s">
        <v>187</v>
      </c>
      <c r="H19" s="19" t="s">
        <v>143</v>
      </c>
      <c r="I19" s="19" t="s">
        <v>169</v>
      </c>
      <c r="J19" s="19" t="s">
        <v>173</v>
      </c>
      <c r="K19" s="26" t="str">
        <f>HYPERLINK("https://maxxton.atlassian.net/browse/QA-28969","QA-28969")</f>
        <v>QA-28969</v>
      </c>
      <c r="L19" s="19" t="s">
        <v>475</v>
      </c>
      <c r="M19" s="8">
        <v>2.0</v>
      </c>
      <c r="O19" s="14"/>
      <c r="P19" s="20"/>
      <c r="Q19" s="20"/>
    </row>
    <row r="20">
      <c r="A20" s="80" t="s">
        <v>222</v>
      </c>
      <c r="B20" s="80" t="s">
        <v>223</v>
      </c>
      <c r="C20" s="81" t="s">
        <v>169</v>
      </c>
      <c r="D20" s="82" t="s">
        <v>224</v>
      </c>
      <c r="E20" s="80" t="s">
        <v>171</v>
      </c>
      <c r="F20" s="80" t="s">
        <v>206</v>
      </c>
      <c r="G20" s="80" t="s">
        <v>179</v>
      </c>
      <c r="H20" s="19" t="s">
        <v>143</v>
      </c>
      <c r="I20" s="19" t="s">
        <v>169</v>
      </c>
      <c r="J20" s="19" t="s">
        <v>206</v>
      </c>
      <c r="K20" s="26" t="str">
        <f>HYPERLINK("https://maxxton.atlassian.net/browse/QA-28970","QA-28970")</f>
        <v>QA-28970</v>
      </c>
      <c r="L20" s="19" t="s">
        <v>475</v>
      </c>
      <c r="M20" s="8" t="s">
        <v>225</v>
      </c>
      <c r="O20" s="14"/>
      <c r="P20" s="20"/>
      <c r="Q20" s="20"/>
    </row>
    <row r="21">
      <c r="A21" s="80" t="s">
        <v>226</v>
      </c>
      <c r="B21" s="80" t="s">
        <v>227</v>
      </c>
      <c r="C21" s="81" t="s">
        <v>169</v>
      </c>
      <c r="D21" s="82" t="s">
        <v>228</v>
      </c>
      <c r="E21" s="80" t="s">
        <v>171</v>
      </c>
      <c r="F21" s="80" t="s">
        <v>206</v>
      </c>
      <c r="G21" s="80" t="s">
        <v>179</v>
      </c>
      <c r="H21" s="19" t="s">
        <v>143</v>
      </c>
      <c r="I21" s="19" t="s">
        <v>169</v>
      </c>
      <c r="J21" s="19" t="s">
        <v>206</v>
      </c>
      <c r="K21" s="26" t="str">
        <f>HYPERLINK("https://maxxton.atlassian.net/browse/QA-28971","QA-28971")</f>
        <v>QA-28971</v>
      </c>
      <c r="L21" s="19" t="s">
        <v>475</v>
      </c>
      <c r="M21" s="8" t="s">
        <v>225</v>
      </c>
      <c r="O21" s="14"/>
      <c r="P21" s="20"/>
      <c r="Q21" s="20"/>
    </row>
    <row r="22">
      <c r="A22" s="80" t="s">
        <v>229</v>
      </c>
      <c r="B22" s="80" t="s">
        <v>230</v>
      </c>
      <c r="C22" s="81" t="s">
        <v>169</v>
      </c>
      <c r="D22" s="82" t="s">
        <v>228</v>
      </c>
      <c r="E22" s="80" t="s">
        <v>171</v>
      </c>
      <c r="F22" s="80" t="s">
        <v>173</v>
      </c>
      <c r="G22" s="80" t="s">
        <v>187</v>
      </c>
      <c r="H22" s="19" t="s">
        <v>143</v>
      </c>
      <c r="I22" s="19" t="s">
        <v>169</v>
      </c>
      <c r="J22" s="19" t="s">
        <v>173</v>
      </c>
      <c r="K22" s="26" t="str">
        <f>HYPERLINK("https://maxxton.atlassian.net/browse/QA-28972","QA-28972")</f>
        <v>QA-28972</v>
      </c>
      <c r="L22" s="19" t="s">
        <v>475</v>
      </c>
      <c r="M22" s="8" t="s">
        <v>231</v>
      </c>
      <c r="O22" s="22"/>
      <c r="P22" s="20"/>
      <c r="Q22" s="20"/>
    </row>
    <row r="23">
      <c r="A23" s="80" t="s">
        <v>236</v>
      </c>
      <c r="B23" s="86" t="s">
        <v>237</v>
      </c>
      <c r="C23" s="87" t="s">
        <v>135</v>
      </c>
      <c r="D23" s="80" t="s">
        <v>238</v>
      </c>
      <c r="E23" s="80" t="s">
        <v>239</v>
      </c>
      <c r="F23" s="80"/>
      <c r="G23" s="80" t="s">
        <v>179</v>
      </c>
      <c r="H23" s="19" t="s">
        <v>98</v>
      </c>
      <c r="I23" s="19" t="s">
        <v>95</v>
      </c>
      <c r="J23" s="19"/>
      <c r="K23" s="26" t="str">
        <f>HYPERLINK("https://maxxton.atlassian.net/browse/QA-17792","QA-17792")</f>
        <v>QA-17792</v>
      </c>
      <c r="L23" s="19" t="s">
        <v>240</v>
      </c>
      <c r="M23" s="8" t="s">
        <v>241</v>
      </c>
      <c r="O23" s="23"/>
      <c r="P23" s="20"/>
      <c r="Q23" s="20"/>
    </row>
    <row r="24">
      <c r="A24" s="80" t="s">
        <v>242</v>
      </c>
      <c r="B24" s="86" t="s">
        <v>243</v>
      </c>
      <c r="C24" s="87" t="s">
        <v>135</v>
      </c>
      <c r="D24" s="80" t="s">
        <v>238</v>
      </c>
      <c r="E24" s="80" t="s">
        <v>239</v>
      </c>
      <c r="F24" s="80"/>
      <c r="G24" s="80" t="s">
        <v>172</v>
      </c>
      <c r="H24" s="19" t="s">
        <v>98</v>
      </c>
      <c r="I24" s="19" t="s">
        <v>95</v>
      </c>
      <c r="J24" s="19"/>
      <c r="K24" s="26" t="str">
        <f>HYPERLINK("https://maxxton.atlassian.net/browse/QA-17793","QA-17793")</f>
        <v>QA-17793</v>
      </c>
      <c r="L24" s="19" t="s">
        <v>240</v>
      </c>
      <c r="M24" s="8" t="s">
        <v>199</v>
      </c>
    </row>
    <row r="25">
      <c r="A25" s="80" t="s">
        <v>244</v>
      </c>
      <c r="B25" s="86" t="s">
        <v>245</v>
      </c>
      <c r="C25" s="87" t="s">
        <v>135</v>
      </c>
      <c r="D25" s="80" t="s">
        <v>238</v>
      </c>
      <c r="E25" s="80" t="s">
        <v>239</v>
      </c>
      <c r="F25" s="88"/>
      <c r="G25" s="80" t="s">
        <v>172</v>
      </c>
      <c r="H25" s="19" t="s">
        <v>98</v>
      </c>
      <c r="I25" s="19" t="s">
        <v>95</v>
      </c>
      <c r="J25" s="19"/>
      <c r="K25" s="26" t="str">
        <f>HYPERLINK("https://maxxton.atlassian.net/browse/QA-17794","QA-17794")</f>
        <v>QA-17794</v>
      </c>
      <c r="L25" s="19" t="s">
        <v>240</v>
      </c>
      <c r="M25" s="8" t="s">
        <v>172</v>
      </c>
    </row>
    <row r="26">
      <c r="A26" s="80" t="s">
        <v>246</v>
      </c>
      <c r="B26" s="86" t="s">
        <v>247</v>
      </c>
      <c r="C26" s="87" t="s">
        <v>135</v>
      </c>
      <c r="D26" s="80" t="s">
        <v>238</v>
      </c>
      <c r="E26" s="80" t="s">
        <v>239</v>
      </c>
      <c r="F26" s="88"/>
      <c r="G26" s="80" t="s">
        <v>172</v>
      </c>
      <c r="H26" s="19" t="s">
        <v>98</v>
      </c>
      <c r="I26" s="19" t="s">
        <v>95</v>
      </c>
      <c r="J26" s="19"/>
      <c r="K26" s="26" t="str">
        <f>HYPERLINK("https://maxxton.atlassian.net/browse/QA-17795","QA-17795")</f>
        <v>QA-17795</v>
      </c>
      <c r="L26" s="19" t="s">
        <v>240</v>
      </c>
      <c r="M26" s="8" t="s">
        <v>172</v>
      </c>
    </row>
    <row r="27">
      <c r="A27" s="80" t="s">
        <v>248</v>
      </c>
      <c r="B27" s="86" t="s">
        <v>249</v>
      </c>
      <c r="C27" s="87" t="s">
        <v>135</v>
      </c>
      <c r="D27" s="80" t="s">
        <v>238</v>
      </c>
      <c r="E27" s="80" t="s">
        <v>239</v>
      </c>
      <c r="F27" s="88"/>
      <c r="G27" s="80" t="s">
        <v>172</v>
      </c>
      <c r="H27" s="19" t="s">
        <v>98</v>
      </c>
      <c r="I27" s="19" t="s">
        <v>95</v>
      </c>
      <c r="J27" s="19"/>
      <c r="K27" s="26" t="str">
        <f>HYPERLINK("https://maxxton.atlassian.net/browse/QA-17796","QA-17796")</f>
        <v>QA-17796</v>
      </c>
      <c r="L27" s="19" t="s">
        <v>240</v>
      </c>
      <c r="M27" s="8" t="s">
        <v>172</v>
      </c>
    </row>
    <row r="28">
      <c r="A28" s="80" t="s">
        <v>250</v>
      </c>
      <c r="B28" s="86" t="s">
        <v>251</v>
      </c>
      <c r="C28" s="87" t="s">
        <v>135</v>
      </c>
      <c r="D28" s="80" t="s">
        <v>238</v>
      </c>
      <c r="E28" s="80" t="s">
        <v>239</v>
      </c>
      <c r="F28" s="88"/>
      <c r="G28" s="80" t="s">
        <v>172</v>
      </c>
      <c r="H28" s="19" t="s">
        <v>98</v>
      </c>
      <c r="I28" s="19" t="s">
        <v>95</v>
      </c>
      <c r="J28" s="19"/>
      <c r="K28" s="26" t="str">
        <f>HYPERLINK("https://maxxton.atlassian.net/browse/QA-17797","QA-17797")</f>
        <v>QA-17797</v>
      </c>
      <c r="L28" s="19" t="s">
        <v>240</v>
      </c>
      <c r="M28" s="8" t="s">
        <v>136</v>
      </c>
    </row>
    <row r="29">
      <c r="A29" s="80" t="s">
        <v>252</v>
      </c>
      <c r="B29" s="86" t="s">
        <v>253</v>
      </c>
      <c r="C29" s="87" t="s">
        <v>135</v>
      </c>
      <c r="D29" s="80" t="s">
        <v>238</v>
      </c>
      <c r="E29" s="80" t="s">
        <v>239</v>
      </c>
      <c r="F29" s="88"/>
      <c r="G29" s="80" t="s">
        <v>172</v>
      </c>
      <c r="H29" s="19" t="s">
        <v>98</v>
      </c>
      <c r="I29" s="19" t="s">
        <v>95</v>
      </c>
      <c r="J29" s="19"/>
      <c r="K29" s="26" t="str">
        <f>HYPERLINK("https://maxxton.atlassian.net/browse/QA-17798","QA-17798")</f>
        <v>QA-17798</v>
      </c>
      <c r="L29" s="19" t="s">
        <v>240</v>
      </c>
      <c r="M29" s="8" t="s">
        <v>172</v>
      </c>
    </row>
    <row r="30">
      <c r="A30" s="80" t="s">
        <v>254</v>
      </c>
      <c r="B30" s="86" t="s">
        <v>255</v>
      </c>
      <c r="C30" s="87" t="s">
        <v>135</v>
      </c>
      <c r="D30" s="80" t="s">
        <v>238</v>
      </c>
      <c r="E30" s="80" t="s">
        <v>239</v>
      </c>
      <c r="F30" s="88"/>
      <c r="G30" s="80" t="s">
        <v>172</v>
      </c>
      <c r="H30" s="19" t="s">
        <v>98</v>
      </c>
      <c r="I30" s="19" t="s">
        <v>95</v>
      </c>
      <c r="J30" s="19"/>
      <c r="K30" s="26" t="str">
        <f>HYPERLINK("https://maxxton.atlassian.net/browse/QA-17799","QA-17799")</f>
        <v>QA-17799</v>
      </c>
      <c r="L30" s="19" t="s">
        <v>240</v>
      </c>
      <c r="M30" s="8" t="s">
        <v>241</v>
      </c>
      <c r="O30" s="19" t="s">
        <v>173</v>
      </c>
      <c r="P30" s="24">
        <f>COUNTIF(J16:J39, "*Anup Sinha*")
</f>
        <v>5</v>
      </c>
    </row>
    <row r="31">
      <c r="A31" s="80" t="s">
        <v>185</v>
      </c>
      <c r="B31" s="80" t="s">
        <v>186</v>
      </c>
      <c r="C31" s="87" t="s">
        <v>135</v>
      </c>
      <c r="D31" s="80" t="s">
        <v>184</v>
      </c>
      <c r="E31" s="80" t="s">
        <v>171</v>
      </c>
      <c r="F31" s="80"/>
      <c r="G31" s="80" t="s">
        <v>187</v>
      </c>
      <c r="H31" s="19" t="s">
        <v>98</v>
      </c>
      <c r="I31" s="19" t="s">
        <v>135</v>
      </c>
      <c r="J31" s="19"/>
      <c r="K31" s="25" t="str">
        <f>HYPERLINK("https://maxxton.atlassian.net/browse/QA-22977","QA-22977")</f>
        <v>QA-22977</v>
      </c>
      <c r="L31" s="19" t="s">
        <v>188</v>
      </c>
      <c r="O31" s="27"/>
      <c r="P31" s="20"/>
      <c r="Q31" s="20"/>
    </row>
    <row r="32">
      <c r="A32" s="80" t="s">
        <v>191</v>
      </c>
      <c r="B32" s="80" t="s">
        <v>192</v>
      </c>
      <c r="C32" s="87" t="s">
        <v>135</v>
      </c>
      <c r="D32" s="80" t="s">
        <v>170</v>
      </c>
      <c r="E32" s="80" t="s">
        <v>171</v>
      </c>
      <c r="F32" s="80"/>
      <c r="G32" s="80" t="s">
        <v>187</v>
      </c>
      <c r="H32" s="19" t="s">
        <v>98</v>
      </c>
      <c r="I32" s="19" t="s">
        <v>135</v>
      </c>
      <c r="J32" s="19"/>
      <c r="K32" s="25" t="str">
        <f>HYPERLINK("https://maxxton.atlassian.net/browse/QA-22979","QA-22979")</f>
        <v>QA-22979</v>
      </c>
      <c r="L32" s="19" t="s">
        <v>188</v>
      </c>
      <c r="P32" s="20"/>
      <c r="Q32" s="20"/>
    </row>
    <row r="33">
      <c r="A33" s="80" t="s">
        <v>189</v>
      </c>
      <c r="B33" s="80" t="s">
        <v>190</v>
      </c>
      <c r="C33" s="87" t="s">
        <v>135</v>
      </c>
      <c r="D33" s="80" t="s">
        <v>178</v>
      </c>
      <c r="E33" s="80" t="s">
        <v>171</v>
      </c>
      <c r="F33" s="80"/>
      <c r="G33" s="80" t="s">
        <v>187</v>
      </c>
      <c r="H33" s="19" t="s">
        <v>98</v>
      </c>
      <c r="I33" s="19" t="s">
        <v>135</v>
      </c>
      <c r="J33" s="19"/>
      <c r="K33" s="25" t="str">
        <f>HYPERLINK("https://maxxton.atlassian.net/browse/QA-22978","QA-22978")</f>
        <v>QA-22978</v>
      </c>
      <c r="L33" s="19" t="s">
        <v>188</v>
      </c>
      <c r="O33" s="27"/>
      <c r="P33" s="20"/>
      <c r="Q33" s="20"/>
    </row>
    <row r="34">
      <c r="A34" s="80" t="s">
        <v>214</v>
      </c>
      <c r="B34" s="80" t="s">
        <v>215</v>
      </c>
      <c r="C34" s="87" t="s">
        <v>135</v>
      </c>
      <c r="D34" s="82" t="s">
        <v>213</v>
      </c>
      <c r="E34" s="80" t="s">
        <v>171</v>
      </c>
      <c r="F34" s="80"/>
      <c r="G34" s="80" t="s">
        <v>216</v>
      </c>
      <c r="H34" s="19" t="s">
        <v>98</v>
      </c>
      <c r="I34" s="19" t="s">
        <v>135</v>
      </c>
      <c r="J34" s="19"/>
      <c r="K34" s="26" t="str">
        <f>HYPERLINK("https://maxxton.atlassian.net/browse/QA-22980","QA-22980")</f>
        <v>QA-22980</v>
      </c>
      <c r="L34" s="19" t="s">
        <v>188</v>
      </c>
      <c r="O34" s="14"/>
      <c r="P34" s="20"/>
      <c r="Q34" s="20"/>
    </row>
    <row r="35">
      <c r="A35" s="80" t="s">
        <v>256</v>
      </c>
      <c r="B35" s="86" t="s">
        <v>626</v>
      </c>
      <c r="C35" s="87" t="s">
        <v>135</v>
      </c>
      <c r="D35" s="86" t="s">
        <v>258</v>
      </c>
      <c r="E35" s="80" t="s">
        <v>171</v>
      </c>
      <c r="F35" s="88"/>
      <c r="G35" s="80" t="s">
        <v>179</v>
      </c>
      <c r="H35" s="19" t="s">
        <v>98</v>
      </c>
      <c r="I35" s="19" t="s">
        <v>169</v>
      </c>
      <c r="J35" s="19"/>
      <c r="K35" s="26" t="str">
        <f>HYPERLINK("https://maxxton.atlassian.net/browse/QA-22981","QA-22981")</f>
        <v>QA-22981</v>
      </c>
      <c r="L35" s="19" t="s">
        <v>188</v>
      </c>
      <c r="O35" s="19" t="s">
        <v>259</v>
      </c>
      <c r="P35" s="24">
        <f>COUNTIF(J16:J39, "*Rohan Bhegade*")
</f>
        <v>0</v>
      </c>
    </row>
    <row r="36">
      <c r="A36" s="80" t="s">
        <v>260</v>
      </c>
      <c r="B36" s="86" t="s">
        <v>627</v>
      </c>
      <c r="C36" s="87" t="s">
        <v>135</v>
      </c>
      <c r="D36" s="86" t="s">
        <v>262</v>
      </c>
      <c r="E36" s="80" t="s">
        <v>171</v>
      </c>
      <c r="F36" s="88"/>
      <c r="G36" s="80" t="s">
        <v>179</v>
      </c>
      <c r="H36" s="19" t="s">
        <v>98</v>
      </c>
      <c r="I36" s="19" t="s">
        <v>169</v>
      </c>
      <c r="J36" s="19"/>
      <c r="K36" s="26" t="str">
        <f>HYPERLINK("https://maxxton.atlassian.net/browse/QA-22982","QA-22982")</f>
        <v>QA-22982</v>
      </c>
      <c r="L36" s="19" t="s">
        <v>188</v>
      </c>
      <c r="O36" s="19" t="s">
        <v>206</v>
      </c>
      <c r="P36" s="24">
        <f>COUNTIF(J2:J39, "Aparna Shinde")</f>
        <v>7</v>
      </c>
    </row>
    <row r="37">
      <c r="A37" s="84" t="str">
        <f>HYPERLINK("https://maxxton.atlassian.net/browse/QA-14981","QA-14981")</f>
        <v>QA-14981</v>
      </c>
      <c r="B37" s="80" t="s">
        <v>628</v>
      </c>
      <c r="C37" s="87" t="s">
        <v>135</v>
      </c>
      <c r="D37" s="80" t="s">
        <v>268</v>
      </c>
      <c r="E37" s="80" t="s">
        <v>171</v>
      </c>
      <c r="F37" s="80"/>
      <c r="G37" s="80" t="s">
        <v>110</v>
      </c>
      <c r="H37" s="19" t="s">
        <v>98</v>
      </c>
      <c r="I37" s="19" t="s">
        <v>169</v>
      </c>
      <c r="J37" s="19"/>
      <c r="K37" s="26" t="str">
        <f>HYPERLINK("https://maxxton.atlassian.net/browse/QA-22985","QA-22985")</f>
        <v>QA-22985</v>
      </c>
      <c r="L37" s="19" t="s">
        <v>188</v>
      </c>
      <c r="M37" s="8">
        <v>1.0</v>
      </c>
    </row>
    <row r="38">
      <c r="A38" s="89" t="s">
        <v>271</v>
      </c>
      <c r="B38" s="90" t="s">
        <v>272</v>
      </c>
      <c r="C38" s="91" t="s">
        <v>135</v>
      </c>
      <c r="D38" s="80" t="s">
        <v>273</v>
      </c>
      <c r="E38" s="92" t="s">
        <v>171</v>
      </c>
      <c r="F38" s="92"/>
      <c r="G38" s="92" t="s">
        <v>172</v>
      </c>
      <c r="H38" s="19" t="s">
        <v>98</v>
      </c>
      <c r="I38" s="19" t="s">
        <v>95</v>
      </c>
      <c r="J38" s="19"/>
      <c r="K38" s="26" t="str">
        <f>HYPERLINK("https://maxxton.atlassian.net/browse/QA-22987","QA-22987")</f>
        <v>QA-22987</v>
      </c>
      <c r="L38" s="19" t="s">
        <v>188</v>
      </c>
      <c r="M38" s="8">
        <v>1.0</v>
      </c>
    </row>
    <row r="39">
      <c r="A39" s="93" t="str">
        <f>HYPERLINK("https://maxxton.atlassian.net/browse/QA-15100","QA-15100")</f>
        <v>QA-15100</v>
      </c>
      <c r="B39" s="90" t="s">
        <v>274</v>
      </c>
      <c r="C39" s="91" t="s">
        <v>135</v>
      </c>
      <c r="D39" s="90" t="s">
        <v>275</v>
      </c>
      <c r="E39" s="92" t="s">
        <v>171</v>
      </c>
      <c r="F39" s="90"/>
      <c r="G39" s="90" t="s">
        <v>172</v>
      </c>
      <c r="H39" s="19" t="s">
        <v>98</v>
      </c>
      <c r="I39" s="19" t="s">
        <v>95</v>
      </c>
      <c r="J39" s="19"/>
      <c r="K39" s="26" t="str">
        <f>HYPERLINK("https://maxxton.atlassian.net/browse/QA-22988","QA-22988")</f>
        <v>QA-22988</v>
      </c>
      <c r="L39" s="19" t="s">
        <v>188</v>
      </c>
      <c r="M39" s="8">
        <v>1.0</v>
      </c>
    </row>
    <row r="40">
      <c r="A40" s="84" t="str">
        <f>HYPERLINK("https://maxxton.atlassian.net/browse/QA-22963","QA-22963")</f>
        <v>QA-22963</v>
      </c>
      <c r="B40" s="80" t="s">
        <v>276</v>
      </c>
      <c r="C40" s="87" t="s">
        <v>135</v>
      </c>
      <c r="D40" s="90" t="s">
        <v>275</v>
      </c>
      <c r="E40" s="90" t="s">
        <v>171</v>
      </c>
      <c r="F40" s="80"/>
      <c r="G40" s="80" t="s">
        <v>235</v>
      </c>
      <c r="H40" s="19" t="s">
        <v>98</v>
      </c>
      <c r="I40" s="8" t="s">
        <v>135</v>
      </c>
      <c r="J40" s="19"/>
      <c r="K40" s="40" t="str">
        <f>HYPERLINK("https://maxxton.atlassian.net/browse/QA-22989","QA-22989")</f>
        <v>QA-22989</v>
      </c>
      <c r="L40" s="8" t="s">
        <v>188</v>
      </c>
      <c r="M40" s="8">
        <v>1.0</v>
      </c>
    </row>
    <row r="41">
      <c r="A41" s="84" t="str">
        <f>HYPERLINK("https://maxxton.atlassian.net/browse/QA-22964","QA-22964")</f>
        <v>QA-22964</v>
      </c>
      <c r="B41" s="80" t="s">
        <v>277</v>
      </c>
      <c r="C41" s="87" t="s">
        <v>135</v>
      </c>
      <c r="D41" s="90" t="s">
        <v>275</v>
      </c>
      <c r="E41" s="90" t="s">
        <v>171</v>
      </c>
      <c r="F41" s="80"/>
      <c r="G41" s="80" t="s">
        <v>110</v>
      </c>
      <c r="H41" s="19" t="s">
        <v>98</v>
      </c>
      <c r="I41" s="19" t="s">
        <v>135</v>
      </c>
      <c r="J41" s="19"/>
      <c r="K41" s="40" t="str">
        <f>HYPERLINK("https://maxxton.atlassian.net/browse/QA-22990","QA-22990")</f>
        <v>QA-22990</v>
      </c>
      <c r="L41" s="8" t="s">
        <v>188</v>
      </c>
      <c r="M41" s="8">
        <v>1.0</v>
      </c>
    </row>
    <row r="42">
      <c r="A42" s="84" t="str">
        <f>HYPERLINK("https://maxxton.atlassian.net/browse/QA-22970","QA-22970")</f>
        <v>QA-22970</v>
      </c>
      <c r="B42" s="80" t="s">
        <v>629</v>
      </c>
      <c r="C42" s="87" t="s">
        <v>135</v>
      </c>
      <c r="D42" s="90" t="s">
        <v>275</v>
      </c>
      <c r="E42" s="90" t="s">
        <v>171</v>
      </c>
      <c r="F42" s="80"/>
      <c r="G42" s="80" t="s">
        <v>110</v>
      </c>
      <c r="H42" s="19" t="s">
        <v>98</v>
      </c>
      <c r="I42" s="19" t="s">
        <v>135</v>
      </c>
      <c r="J42" s="19"/>
      <c r="K42" s="40" t="str">
        <f>HYPERLINK("https://maxxton.atlassian.net/browse/QA-24103","QA-24103")</f>
        <v>QA-24103</v>
      </c>
      <c r="L42" s="8" t="s">
        <v>279</v>
      </c>
      <c r="M42" s="8">
        <v>1.0</v>
      </c>
    </row>
    <row r="43">
      <c r="A43" s="84" t="str">
        <f>HYPERLINK("https://maxxton.atlassian.net/browse/QA-22972","QA-22972")</f>
        <v>QA-22972</v>
      </c>
      <c r="B43" s="80" t="s">
        <v>630</v>
      </c>
      <c r="C43" s="87" t="s">
        <v>135</v>
      </c>
      <c r="D43" s="90" t="s">
        <v>275</v>
      </c>
      <c r="E43" s="90" t="s">
        <v>171</v>
      </c>
      <c r="F43" s="80"/>
      <c r="G43" s="80" t="s">
        <v>110</v>
      </c>
      <c r="H43" s="19" t="s">
        <v>98</v>
      </c>
      <c r="I43" s="19" t="s">
        <v>135</v>
      </c>
      <c r="J43" s="19"/>
      <c r="K43" s="40" t="str">
        <f>HYPERLINK("https://maxxton.atlassian.net/browse/QA-22992","QA-22992")</f>
        <v>QA-22992</v>
      </c>
      <c r="L43" s="8" t="s">
        <v>188</v>
      </c>
      <c r="M43" s="8">
        <v>1.0</v>
      </c>
    </row>
    <row r="44">
      <c r="A44" s="84" t="str">
        <f>HYPERLINK("https://maxxton.atlassian.net/browse/QA-22973","QA-22973")</f>
        <v>QA-22973</v>
      </c>
      <c r="B44" s="80" t="s">
        <v>631</v>
      </c>
      <c r="C44" s="87" t="s">
        <v>135</v>
      </c>
      <c r="D44" s="90" t="s">
        <v>275</v>
      </c>
      <c r="E44" s="90" t="s">
        <v>171</v>
      </c>
      <c r="F44" s="80"/>
      <c r="G44" s="80" t="s">
        <v>110</v>
      </c>
      <c r="H44" s="19" t="s">
        <v>98</v>
      </c>
      <c r="I44" s="19" t="s">
        <v>135</v>
      </c>
      <c r="J44" s="19"/>
      <c r="K44" s="26" t="str">
        <f>HYPERLINK("https://maxxton.atlassian.net/browse/QA-22993","QA-22993")</f>
        <v>QA-22993</v>
      </c>
      <c r="L44" s="19" t="s">
        <v>188</v>
      </c>
      <c r="M44" s="8">
        <v>1.0</v>
      </c>
    </row>
    <row r="45">
      <c r="A45" s="84" t="str">
        <f>HYPERLINK("https://maxxton.atlassian.net/browse/QA-22974","QA-22974")</f>
        <v>QA-22974</v>
      </c>
      <c r="B45" s="80" t="s">
        <v>632</v>
      </c>
      <c r="C45" s="87" t="s">
        <v>135</v>
      </c>
      <c r="D45" s="90" t="s">
        <v>275</v>
      </c>
      <c r="E45" s="90" t="s">
        <v>171</v>
      </c>
      <c r="F45" s="80"/>
      <c r="G45" s="80" t="s">
        <v>110</v>
      </c>
      <c r="H45" s="19" t="s">
        <v>98</v>
      </c>
      <c r="I45" s="19" t="s">
        <v>135</v>
      </c>
      <c r="J45" s="19"/>
      <c r="K45" s="26" t="str">
        <f>HYPERLINK("https://maxxton.atlassian.net/browse/QA-24104","QA-24104")</f>
        <v>QA-24104</v>
      </c>
      <c r="L45" s="19" t="s">
        <v>279</v>
      </c>
      <c r="M45" s="8">
        <v>1.0</v>
      </c>
    </row>
    <row r="46">
      <c r="A46" s="84" t="str">
        <f>HYPERLINK("https://maxxton.atlassian.net/browse/QA-22975","QA-22975")</f>
        <v>QA-22975</v>
      </c>
      <c r="B46" s="80" t="s">
        <v>633</v>
      </c>
      <c r="C46" s="87" t="s">
        <v>135</v>
      </c>
      <c r="D46" s="90" t="s">
        <v>275</v>
      </c>
      <c r="E46" s="90" t="s">
        <v>171</v>
      </c>
      <c r="F46" s="80"/>
      <c r="G46" s="80" t="s">
        <v>110</v>
      </c>
      <c r="H46" s="19" t="s">
        <v>98</v>
      </c>
      <c r="I46" s="19" t="s">
        <v>135</v>
      </c>
      <c r="J46" s="19"/>
      <c r="K46" s="26" t="str">
        <f>HYPERLINK("https://maxxton.atlassian.net/browse/QA-22995","QA-22995")</f>
        <v>QA-22995</v>
      </c>
      <c r="L46" s="19" t="s">
        <v>188</v>
      </c>
      <c r="M46" s="8">
        <v>1.0</v>
      </c>
    </row>
    <row r="47">
      <c r="A47" s="84" t="str">
        <f>HYPERLINK("https://maxxton.atlassian.net/browse/QA-22976","QA-22976")</f>
        <v>QA-22976</v>
      </c>
      <c r="B47" s="80" t="s">
        <v>634</v>
      </c>
      <c r="C47" s="87" t="s">
        <v>135</v>
      </c>
      <c r="D47" s="90" t="s">
        <v>275</v>
      </c>
      <c r="E47" s="90" t="s">
        <v>171</v>
      </c>
      <c r="F47" s="80"/>
      <c r="G47" s="80" t="s">
        <v>110</v>
      </c>
      <c r="H47" s="19" t="s">
        <v>98</v>
      </c>
      <c r="I47" s="19" t="s">
        <v>135</v>
      </c>
      <c r="J47" s="19"/>
      <c r="K47" s="26" t="str">
        <f>HYPERLINK("https://maxxton.atlassian.net/browse/QA-22996","QA-22996")</f>
        <v>QA-22996</v>
      </c>
      <c r="L47" s="19" t="s">
        <v>188</v>
      </c>
      <c r="M47" s="8">
        <v>1.0</v>
      </c>
    </row>
    <row r="54">
      <c r="A54" s="80" t="s">
        <v>635</v>
      </c>
      <c r="B54" s="80" t="s">
        <v>636</v>
      </c>
      <c r="C54" s="81" t="s">
        <v>169</v>
      </c>
      <c r="D54" s="82" t="s">
        <v>219</v>
      </c>
      <c r="E54" s="80" t="s">
        <v>171</v>
      </c>
      <c r="F54" s="80" t="s">
        <v>173</v>
      </c>
      <c r="G54" s="80" t="s">
        <v>199</v>
      </c>
      <c r="H54" s="19" t="s">
        <v>98</v>
      </c>
      <c r="I54" s="19" t="s">
        <v>169</v>
      </c>
      <c r="J54" s="19" t="s">
        <v>173</v>
      </c>
      <c r="K54" s="21"/>
      <c r="L54" s="19"/>
      <c r="M54" s="8"/>
      <c r="O54" s="22"/>
      <c r="P54" s="20"/>
      <c r="Q54" s="20"/>
    </row>
  </sheetData>
  <mergeCells count="1">
    <mergeCell ref="P2:Q2"/>
  </mergeCells>
  <conditionalFormatting sqref="H2:H47 H54">
    <cfRule type="cellIs" dxfId="0" priority="1" operator="equal">
      <formula>"Y"</formula>
    </cfRule>
  </conditionalFormatting>
  <conditionalFormatting sqref="H2:H47 H54">
    <cfRule type="containsText" dxfId="1" priority="2" operator="containsText" text="N">
      <formula>NOT(ISERROR(SEARCH(("N"),(H2))))</formula>
    </cfRule>
  </conditionalFormatting>
  <dataValidations>
    <dataValidation type="list" allowBlank="1" sqref="I7:I39 C7:C47 I41:I47 C54 I54">
      <formula1>"P1,P2,P3,P4,P5"</formula1>
    </dataValidation>
    <dataValidation type="list" allowBlank="1" sqref="O30 O35:O36 F7:F47 J7:J47 F54 J54">
      <formula1>BaseData!$A$2:$A$54</formula1>
    </dataValidation>
    <dataValidation type="list" allowBlank="1" sqref="H7:H47 H54">
      <formula1>"Y,N"</formula1>
    </dataValidation>
  </dataValidations>
  <hyperlinks>
    <hyperlink r:id="rId1" ref="A38"/>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7.38"/>
    <col customWidth="1" min="3" max="3" width="7.25"/>
    <col customWidth="1" min="4" max="4" width="27.0"/>
    <col customWidth="1" min="5" max="5" width="9.13"/>
    <col customWidth="1" min="6" max="6" width="27.75"/>
    <col customWidth="1" min="7" max="7" width="11.38"/>
    <col customWidth="1" min="8" max="8" width="16.88"/>
    <col customWidth="1" min="9" max="9" width="9.75"/>
    <col customWidth="1" min="10" max="10" width="14.38"/>
    <col customWidth="1" min="11" max="11" width="10.88"/>
    <col customWidth="1" min="12" max="12" width="49.63"/>
    <col customWidth="1" min="13" max="13" width="29.25"/>
    <col customWidth="1" min="14" max="14" width="37.25"/>
    <col customWidth="1" min="15" max="15" width="24.88"/>
    <col customWidth="1" min="16" max="16" width="5.75"/>
    <col customWidth="1" min="17" max="17" width="23.25"/>
  </cols>
  <sheetData>
    <row r="1">
      <c r="J1" s="8"/>
      <c r="O1" s="9" t="s">
        <v>36</v>
      </c>
      <c r="P1" s="10" t="s">
        <v>37</v>
      </c>
      <c r="Q1" s="11"/>
    </row>
    <row r="2">
      <c r="A2" s="8"/>
      <c r="B2" s="8"/>
      <c r="E2" s="8"/>
      <c r="F2" s="12" t="s">
        <v>25</v>
      </c>
      <c r="G2" s="1">
        <f>countifs(A:A,"&lt;&gt;NEW",A:A,"&lt;&gt;")-1</f>
        <v>5</v>
      </c>
      <c r="I2" s="8"/>
      <c r="J2" s="8"/>
      <c r="O2" s="13" t="s">
        <v>38</v>
      </c>
      <c r="P2" s="14" t="s">
        <v>39</v>
      </c>
      <c r="Q2" s="15" t="s">
        <v>40</v>
      </c>
    </row>
    <row r="3">
      <c r="A3" s="8"/>
      <c r="B3" s="8"/>
      <c r="D3" s="16"/>
      <c r="E3" s="8"/>
      <c r="F3" s="17" t="s">
        <v>41</v>
      </c>
      <c r="G3" s="18">
        <f>countif(H:H,"=Y")</f>
        <v>4</v>
      </c>
      <c r="H3" s="8"/>
      <c r="I3" s="8"/>
      <c r="J3" s="8"/>
      <c r="O3" s="13" t="s">
        <v>42</v>
      </c>
      <c r="P3" s="14" t="s">
        <v>43</v>
      </c>
      <c r="Q3" s="15" t="s">
        <v>44</v>
      </c>
    </row>
    <row r="4">
      <c r="A4" s="8"/>
      <c r="B4" s="8"/>
      <c r="D4" s="8"/>
      <c r="E4" s="8"/>
      <c r="F4" s="17" t="s">
        <v>45</v>
      </c>
      <c r="G4" s="18">
        <f>COUNTIF(A:A,"=NEW")</f>
        <v>0</v>
      </c>
      <c r="H4" s="8"/>
      <c r="I4" s="8"/>
      <c r="J4" s="8"/>
      <c r="O4" s="13" t="s">
        <v>46</v>
      </c>
      <c r="P4" s="14" t="s">
        <v>47</v>
      </c>
      <c r="Q4" s="15" t="s">
        <v>48</v>
      </c>
    </row>
    <row r="5">
      <c r="A5" s="8"/>
      <c r="B5" s="8"/>
      <c r="C5" s="8"/>
      <c r="D5" s="8"/>
      <c r="E5" s="8"/>
      <c r="F5" s="67"/>
      <c r="G5" s="8"/>
      <c r="H5" s="8"/>
      <c r="I5" s="8"/>
      <c r="J5" s="8"/>
      <c r="O5" s="13" t="s">
        <v>49</v>
      </c>
      <c r="P5" s="14" t="s">
        <v>50</v>
      </c>
      <c r="Q5" s="15" t="s">
        <v>51</v>
      </c>
    </row>
    <row r="6">
      <c r="A6" s="94" t="s">
        <v>52</v>
      </c>
      <c r="B6" s="94" t="s">
        <v>53</v>
      </c>
      <c r="C6" s="94" t="s">
        <v>54</v>
      </c>
      <c r="D6" s="94" t="s">
        <v>55</v>
      </c>
      <c r="E6" s="94" t="s">
        <v>56</v>
      </c>
      <c r="F6" s="94" t="s">
        <v>57</v>
      </c>
      <c r="G6" s="94" t="s">
        <v>58</v>
      </c>
      <c r="H6" s="95" t="s">
        <v>59</v>
      </c>
      <c r="I6" s="95" t="s">
        <v>60</v>
      </c>
      <c r="J6" s="95" t="s">
        <v>61</v>
      </c>
      <c r="K6" s="95" t="s">
        <v>62</v>
      </c>
      <c r="L6" s="95" t="s">
        <v>63</v>
      </c>
      <c r="M6" s="96" t="s">
        <v>164</v>
      </c>
      <c r="N6" s="96" t="s">
        <v>165</v>
      </c>
      <c r="O6" s="13" t="s">
        <v>64</v>
      </c>
      <c r="P6" s="14" t="s">
        <v>65</v>
      </c>
      <c r="Q6" s="15" t="s">
        <v>66</v>
      </c>
    </row>
    <row r="7">
      <c r="A7" s="63" t="s">
        <v>637</v>
      </c>
      <c r="B7" s="97" t="s">
        <v>638</v>
      </c>
      <c r="C7" s="98" t="s">
        <v>95</v>
      </c>
      <c r="D7" s="27" t="s">
        <v>639</v>
      </c>
      <c r="E7" s="27" t="s">
        <v>640</v>
      </c>
      <c r="F7" s="98" t="s">
        <v>180</v>
      </c>
      <c r="G7" s="48" t="s">
        <v>187</v>
      </c>
      <c r="H7" s="98" t="s">
        <v>143</v>
      </c>
      <c r="I7" s="98" t="s">
        <v>95</v>
      </c>
      <c r="J7" s="98" t="s">
        <v>641</v>
      </c>
      <c r="K7" s="99" t="str">
        <f>HYPERLINK("https://maxxton.atlassian.net/browse/QA-28881","QA-28881")</f>
        <v>QA-28881</v>
      </c>
      <c r="L7" s="98" t="s">
        <v>642</v>
      </c>
      <c r="M7" s="48" t="s">
        <v>187</v>
      </c>
      <c r="N7" s="48"/>
      <c r="O7" s="74" t="s">
        <v>67</v>
      </c>
      <c r="P7" s="75" t="s">
        <v>68</v>
      </c>
      <c r="Q7" s="75" t="s">
        <v>69</v>
      </c>
      <c r="R7" s="76"/>
      <c r="S7" s="76"/>
      <c r="T7" s="76"/>
      <c r="U7" s="76"/>
      <c r="V7" s="76"/>
      <c r="W7" s="76"/>
      <c r="X7" s="76"/>
      <c r="Y7" s="76"/>
      <c r="Z7" s="76"/>
      <c r="AA7" s="76"/>
    </row>
    <row r="8">
      <c r="A8" s="63" t="s">
        <v>643</v>
      </c>
      <c r="B8" s="97" t="s">
        <v>644</v>
      </c>
      <c r="C8" s="98" t="s">
        <v>95</v>
      </c>
      <c r="D8" s="27" t="s">
        <v>639</v>
      </c>
      <c r="E8" s="27" t="s">
        <v>640</v>
      </c>
      <c r="F8" s="98" t="s">
        <v>180</v>
      </c>
      <c r="G8" s="48" t="s">
        <v>216</v>
      </c>
      <c r="H8" s="98" t="s">
        <v>143</v>
      </c>
      <c r="I8" s="98" t="s">
        <v>95</v>
      </c>
      <c r="J8" s="98" t="s">
        <v>641</v>
      </c>
      <c r="K8" s="99" t="str">
        <f>HYPERLINK("https://maxxton.atlassian.net/browse/QA-28882","QA-28882")</f>
        <v>QA-28882</v>
      </c>
      <c r="L8" s="98" t="s">
        <v>642</v>
      </c>
      <c r="M8" s="48" t="s">
        <v>216</v>
      </c>
      <c r="N8" s="48"/>
      <c r="O8" s="74" t="s">
        <v>79</v>
      </c>
      <c r="P8" s="75"/>
      <c r="Q8" s="75"/>
      <c r="R8" s="76"/>
      <c r="S8" s="76"/>
      <c r="T8" s="76"/>
      <c r="U8" s="76"/>
      <c r="V8" s="76"/>
      <c r="W8" s="76"/>
      <c r="X8" s="76"/>
      <c r="Y8" s="76"/>
      <c r="Z8" s="76"/>
      <c r="AA8" s="76"/>
    </row>
    <row r="9">
      <c r="A9" s="63" t="s">
        <v>645</v>
      </c>
      <c r="B9" s="97" t="s">
        <v>646</v>
      </c>
      <c r="C9" s="98" t="s">
        <v>95</v>
      </c>
      <c r="D9" s="27" t="s">
        <v>647</v>
      </c>
      <c r="E9" s="27" t="s">
        <v>640</v>
      </c>
      <c r="F9" s="98" t="s">
        <v>180</v>
      </c>
      <c r="G9" s="48" t="s">
        <v>216</v>
      </c>
      <c r="H9" s="98" t="s">
        <v>143</v>
      </c>
      <c r="I9" s="98" t="s">
        <v>95</v>
      </c>
      <c r="J9" s="98" t="s">
        <v>180</v>
      </c>
      <c r="K9" s="99" t="str">
        <f>HYPERLINK("https://maxxton.atlassian.net/browse/QA-28883","QA-28883")</f>
        <v>QA-28883</v>
      </c>
      <c r="L9" s="98" t="s">
        <v>642</v>
      </c>
      <c r="M9" s="48" t="s">
        <v>216</v>
      </c>
      <c r="N9" s="48"/>
      <c r="O9" s="74" t="s">
        <v>76</v>
      </c>
      <c r="P9" s="75"/>
      <c r="Q9" s="75"/>
      <c r="R9" s="76"/>
      <c r="S9" s="76"/>
      <c r="T9" s="76"/>
      <c r="U9" s="76"/>
      <c r="V9" s="76"/>
      <c r="W9" s="76"/>
      <c r="X9" s="76"/>
      <c r="Y9" s="76"/>
      <c r="Z9" s="76"/>
      <c r="AA9" s="76"/>
    </row>
    <row r="10">
      <c r="A10" s="63" t="s">
        <v>648</v>
      </c>
      <c r="B10" s="97" t="s">
        <v>649</v>
      </c>
      <c r="C10" s="98" t="s">
        <v>95</v>
      </c>
      <c r="D10" s="27" t="s">
        <v>647</v>
      </c>
      <c r="E10" s="27" t="s">
        <v>640</v>
      </c>
      <c r="F10" s="98" t="s">
        <v>180</v>
      </c>
      <c r="G10" s="48" t="s">
        <v>650</v>
      </c>
      <c r="H10" s="98" t="s">
        <v>143</v>
      </c>
      <c r="I10" s="98" t="s">
        <v>95</v>
      </c>
      <c r="J10" s="98" t="s">
        <v>180</v>
      </c>
      <c r="K10" s="99" t="str">
        <f>HYPERLINK("https://maxxton.atlassian.net/browse/QA-28884","QA-28884")</f>
        <v>QA-28884</v>
      </c>
      <c r="L10" s="98" t="s">
        <v>642</v>
      </c>
      <c r="M10" s="48" t="s">
        <v>650</v>
      </c>
      <c r="N10" s="48"/>
      <c r="O10" s="74" t="s">
        <v>84</v>
      </c>
      <c r="P10" s="75"/>
      <c r="Q10" s="75"/>
      <c r="R10" s="76"/>
      <c r="S10" s="76"/>
      <c r="T10" s="76"/>
      <c r="U10" s="76"/>
      <c r="V10" s="76"/>
      <c r="W10" s="76"/>
      <c r="X10" s="76"/>
      <c r="Y10" s="76"/>
      <c r="Z10" s="76"/>
      <c r="AA10" s="76"/>
    </row>
    <row r="11">
      <c r="A11" s="48" t="s">
        <v>651</v>
      </c>
      <c r="B11" s="100" t="s">
        <v>652</v>
      </c>
      <c r="C11" s="98" t="s">
        <v>95</v>
      </c>
      <c r="D11" s="27" t="s">
        <v>639</v>
      </c>
      <c r="E11" s="27" t="s">
        <v>640</v>
      </c>
      <c r="F11" s="98" t="s">
        <v>641</v>
      </c>
      <c r="G11" s="101"/>
      <c r="H11" s="98" t="s">
        <v>98</v>
      </c>
      <c r="I11" s="98" t="s">
        <v>95</v>
      </c>
      <c r="J11" s="98" t="s">
        <v>641</v>
      </c>
      <c r="K11" s="102"/>
      <c r="L11" s="98"/>
      <c r="M11" s="103"/>
      <c r="N11" s="103"/>
      <c r="O11" s="104" t="s">
        <v>85</v>
      </c>
      <c r="P11" s="75"/>
      <c r="Q11" s="75"/>
      <c r="R11" s="76"/>
      <c r="S11" s="76"/>
      <c r="T11" s="76"/>
      <c r="U11" s="76"/>
      <c r="V11" s="76"/>
      <c r="W11" s="76"/>
      <c r="X11" s="76"/>
      <c r="Y11" s="76"/>
      <c r="Z11" s="76"/>
      <c r="AA11" s="76"/>
    </row>
    <row r="14">
      <c r="A14" s="76"/>
      <c r="B14" s="76"/>
      <c r="D14" s="76"/>
      <c r="E14" s="76"/>
      <c r="F14" s="76"/>
      <c r="G14" s="76"/>
      <c r="H14" s="76"/>
      <c r="I14" s="75"/>
      <c r="J14" s="75"/>
      <c r="K14" s="76"/>
      <c r="M14" s="76"/>
      <c r="N14" s="76"/>
      <c r="P14" s="75"/>
      <c r="Q14" s="75"/>
      <c r="R14" s="76"/>
      <c r="S14" s="76"/>
      <c r="T14" s="76"/>
      <c r="U14" s="76"/>
      <c r="V14" s="76"/>
      <c r="W14" s="76"/>
      <c r="X14" s="76"/>
      <c r="Y14" s="76"/>
      <c r="Z14" s="76"/>
      <c r="AA14" s="76"/>
    </row>
    <row r="15">
      <c r="A15" s="76"/>
      <c r="B15" s="76"/>
      <c r="D15" s="76"/>
      <c r="E15" s="76"/>
      <c r="F15" s="76"/>
      <c r="G15" s="76"/>
      <c r="H15" s="76"/>
      <c r="I15" s="76"/>
      <c r="J15" s="76"/>
      <c r="K15" s="76"/>
      <c r="M15" s="76"/>
      <c r="N15" s="76"/>
      <c r="P15" s="75"/>
      <c r="Q15" s="75"/>
      <c r="R15" s="76"/>
      <c r="S15" s="76"/>
      <c r="T15" s="76"/>
      <c r="U15" s="76"/>
      <c r="V15" s="76"/>
      <c r="W15" s="76"/>
      <c r="X15" s="76"/>
      <c r="Y15" s="76"/>
      <c r="Z15" s="76"/>
      <c r="AA15" s="76"/>
    </row>
    <row r="16">
      <c r="A16" s="76"/>
      <c r="B16" s="76"/>
      <c r="D16" s="76"/>
      <c r="E16" s="76"/>
      <c r="F16" s="76"/>
      <c r="G16" s="76"/>
      <c r="H16" s="76"/>
      <c r="I16" s="76"/>
      <c r="J16" s="76"/>
      <c r="K16" s="76"/>
      <c r="M16" s="76"/>
      <c r="N16" s="76"/>
      <c r="P16" s="75"/>
      <c r="Q16" s="75"/>
      <c r="R16" s="76"/>
      <c r="S16" s="76"/>
      <c r="T16" s="76"/>
      <c r="U16" s="76"/>
      <c r="V16" s="76"/>
      <c r="W16" s="76"/>
      <c r="X16" s="76"/>
      <c r="Y16" s="76"/>
      <c r="Z16" s="76"/>
      <c r="AA16" s="76"/>
    </row>
    <row r="17">
      <c r="A17" s="76"/>
      <c r="B17" s="76"/>
      <c r="D17" s="76"/>
      <c r="E17" s="76"/>
      <c r="F17" s="76"/>
      <c r="G17" s="76"/>
      <c r="H17" s="76"/>
      <c r="I17" s="76"/>
      <c r="J17" s="76"/>
      <c r="K17" s="76"/>
      <c r="M17" s="76"/>
      <c r="N17" s="76"/>
      <c r="O17" s="76"/>
      <c r="P17" s="75"/>
      <c r="Q17" s="75"/>
      <c r="R17" s="76"/>
      <c r="S17" s="76"/>
      <c r="T17" s="76"/>
      <c r="U17" s="76"/>
      <c r="V17" s="76"/>
      <c r="W17" s="76"/>
      <c r="X17" s="76"/>
      <c r="Y17" s="76"/>
      <c r="Z17" s="76"/>
      <c r="AA17" s="76"/>
    </row>
    <row r="18">
      <c r="A18" s="76"/>
      <c r="B18" s="76"/>
      <c r="D18" s="76"/>
      <c r="E18" s="76"/>
      <c r="F18" s="76"/>
      <c r="G18" s="76"/>
      <c r="H18" s="76"/>
      <c r="I18" s="76"/>
      <c r="J18" s="76"/>
      <c r="K18" s="76"/>
      <c r="M18" s="76"/>
      <c r="N18" s="76"/>
      <c r="O18" s="76"/>
      <c r="P18" s="75"/>
      <c r="Q18" s="75"/>
      <c r="R18" s="76"/>
      <c r="S18" s="76"/>
      <c r="T18" s="76"/>
      <c r="U18" s="76"/>
      <c r="V18" s="76"/>
      <c r="W18" s="76"/>
      <c r="X18" s="76"/>
      <c r="Y18" s="76"/>
      <c r="Z18" s="76"/>
      <c r="AA18" s="76"/>
    </row>
    <row r="19">
      <c r="A19" s="76"/>
      <c r="B19" s="76"/>
      <c r="D19" s="76"/>
      <c r="E19" s="76"/>
      <c r="F19" s="76"/>
      <c r="G19" s="76"/>
      <c r="H19" s="76"/>
      <c r="I19" s="76"/>
      <c r="J19" s="76"/>
      <c r="K19" s="76"/>
      <c r="L19" s="76"/>
      <c r="M19" s="76"/>
      <c r="N19" s="76"/>
      <c r="O19" s="76"/>
      <c r="P19" s="75"/>
      <c r="Q19" s="75"/>
      <c r="R19" s="76"/>
      <c r="S19" s="76"/>
      <c r="T19" s="76"/>
      <c r="U19" s="76"/>
      <c r="V19" s="76"/>
      <c r="W19" s="76"/>
      <c r="X19" s="76"/>
      <c r="Y19" s="76"/>
      <c r="Z19" s="76"/>
      <c r="AA19" s="76"/>
    </row>
    <row r="20">
      <c r="A20" s="76"/>
      <c r="B20" s="76"/>
      <c r="D20" s="76"/>
      <c r="E20" s="76"/>
      <c r="G20" s="76"/>
      <c r="H20" s="76"/>
      <c r="I20" s="76"/>
      <c r="J20" s="76"/>
      <c r="K20" s="76"/>
      <c r="L20" s="76"/>
      <c r="M20" s="76"/>
      <c r="N20" s="76"/>
      <c r="O20" s="76"/>
      <c r="P20" s="76"/>
      <c r="Q20" s="76"/>
      <c r="R20" s="76"/>
      <c r="S20" s="76"/>
      <c r="T20" s="76"/>
      <c r="U20" s="76"/>
      <c r="V20" s="76"/>
      <c r="W20" s="76"/>
      <c r="X20" s="76"/>
      <c r="Y20" s="76"/>
      <c r="Z20" s="76"/>
      <c r="AA20" s="76"/>
    </row>
    <row r="21">
      <c r="A21" s="76"/>
      <c r="B21" s="76"/>
      <c r="D21" s="76"/>
      <c r="E21" s="76"/>
      <c r="F21" s="76"/>
      <c r="G21" s="76"/>
      <c r="H21" s="76"/>
      <c r="I21" s="76"/>
      <c r="J21" s="76"/>
      <c r="K21" s="76"/>
      <c r="L21" s="76"/>
      <c r="M21" s="76"/>
      <c r="N21" s="76"/>
      <c r="O21" s="76"/>
      <c r="P21" s="76"/>
      <c r="Q21" s="76"/>
      <c r="R21" s="76"/>
      <c r="S21" s="76"/>
      <c r="T21" s="76"/>
      <c r="U21" s="76"/>
      <c r="V21" s="76"/>
      <c r="W21" s="76"/>
      <c r="X21" s="76"/>
      <c r="Y21" s="76"/>
      <c r="Z21" s="76"/>
      <c r="AA21" s="76"/>
    </row>
    <row r="22">
      <c r="A22" s="76"/>
      <c r="B22" s="76"/>
      <c r="D22" s="76"/>
      <c r="E22" s="76"/>
      <c r="F22" s="76"/>
      <c r="G22" s="76"/>
      <c r="H22" s="76"/>
      <c r="I22" s="76"/>
      <c r="J22" s="76"/>
      <c r="K22" s="76"/>
      <c r="L22" s="76"/>
      <c r="M22" s="76"/>
      <c r="N22" s="76"/>
      <c r="O22" s="76"/>
      <c r="P22" s="76"/>
      <c r="Q22" s="76"/>
      <c r="R22" s="76"/>
      <c r="S22" s="76"/>
      <c r="T22" s="76"/>
      <c r="U22" s="76"/>
      <c r="V22" s="76"/>
      <c r="W22" s="76"/>
      <c r="X22" s="76"/>
      <c r="Y22" s="76"/>
      <c r="Z22" s="76"/>
      <c r="AA22" s="76"/>
    </row>
    <row r="23">
      <c r="A23" s="76"/>
      <c r="B23" s="76"/>
      <c r="D23" s="76"/>
      <c r="E23" s="76"/>
      <c r="F23" s="76"/>
      <c r="G23" s="76"/>
      <c r="H23" s="76"/>
      <c r="I23" s="76"/>
      <c r="J23" s="76"/>
      <c r="K23" s="76"/>
      <c r="L23" s="76"/>
      <c r="M23" s="76"/>
      <c r="N23" s="76"/>
      <c r="O23" s="76"/>
      <c r="P23" s="76"/>
      <c r="Q23" s="76"/>
      <c r="R23" s="76"/>
      <c r="S23" s="76"/>
      <c r="T23" s="76"/>
      <c r="U23" s="76"/>
      <c r="V23" s="76"/>
      <c r="W23" s="76"/>
      <c r="X23" s="76"/>
      <c r="Y23" s="76"/>
      <c r="Z23" s="76"/>
      <c r="AA23" s="76"/>
    </row>
    <row r="24">
      <c r="A24" s="76"/>
      <c r="B24" s="76"/>
      <c r="D24" s="76"/>
      <c r="E24" s="76"/>
      <c r="F24" s="76"/>
      <c r="G24" s="76"/>
      <c r="H24" s="76"/>
      <c r="I24" s="76"/>
      <c r="J24" s="76"/>
      <c r="K24" s="76"/>
      <c r="L24" s="76"/>
      <c r="M24" s="76"/>
      <c r="N24" s="76"/>
      <c r="O24" s="76"/>
      <c r="P24" s="76"/>
      <c r="Q24" s="76"/>
      <c r="R24" s="76"/>
      <c r="S24" s="76"/>
      <c r="T24" s="76"/>
      <c r="U24" s="76"/>
      <c r="V24" s="76"/>
      <c r="W24" s="76"/>
      <c r="X24" s="76"/>
      <c r="Y24" s="76"/>
      <c r="Z24" s="76"/>
      <c r="AA24" s="76"/>
    </row>
    <row r="25">
      <c r="A25" s="76"/>
      <c r="B25" s="76"/>
      <c r="D25" s="76"/>
      <c r="E25" s="76"/>
      <c r="F25" s="76"/>
      <c r="G25" s="76"/>
      <c r="H25" s="76"/>
      <c r="I25" s="76"/>
      <c r="J25" s="76"/>
      <c r="K25" s="76"/>
      <c r="M25" s="76"/>
      <c r="N25" s="76"/>
      <c r="O25" s="76"/>
      <c r="P25" s="76"/>
      <c r="Q25" s="76"/>
      <c r="R25" s="76"/>
      <c r="S25" s="76"/>
      <c r="T25" s="76"/>
      <c r="U25" s="76"/>
      <c r="V25" s="76"/>
      <c r="W25" s="76"/>
      <c r="X25" s="76"/>
      <c r="Y25" s="76"/>
      <c r="Z25" s="76"/>
      <c r="AA25" s="76"/>
    </row>
    <row r="27">
      <c r="A27" s="76"/>
      <c r="B27" s="76"/>
      <c r="D27" s="76"/>
      <c r="E27" s="76"/>
      <c r="F27" s="76"/>
      <c r="G27" s="76"/>
      <c r="H27" s="76"/>
      <c r="I27" s="76"/>
      <c r="J27" s="76"/>
      <c r="K27" s="76"/>
      <c r="L27" s="76"/>
      <c r="M27" s="76"/>
      <c r="N27" s="76"/>
      <c r="O27" s="76"/>
      <c r="P27" s="76"/>
      <c r="Q27" s="76"/>
      <c r="R27" s="76"/>
      <c r="S27" s="76"/>
      <c r="T27" s="76"/>
      <c r="U27" s="76"/>
      <c r="V27" s="76"/>
      <c r="W27" s="76"/>
      <c r="X27" s="76"/>
      <c r="Y27" s="76"/>
      <c r="Z27" s="76"/>
      <c r="AA27" s="76"/>
    </row>
    <row r="28">
      <c r="A28" s="76"/>
      <c r="B28" s="76"/>
      <c r="D28" s="76"/>
      <c r="E28" s="76"/>
      <c r="F28" s="76"/>
      <c r="G28" s="76"/>
      <c r="H28" s="76"/>
      <c r="I28" s="76"/>
      <c r="J28" s="76"/>
      <c r="K28" s="76"/>
      <c r="L28" s="76"/>
      <c r="M28" s="76"/>
      <c r="N28" s="76"/>
      <c r="O28" s="76"/>
      <c r="P28" s="76"/>
      <c r="Q28" s="76"/>
      <c r="R28" s="76"/>
      <c r="S28" s="76"/>
      <c r="T28" s="76"/>
      <c r="U28" s="76"/>
      <c r="V28" s="76"/>
      <c r="W28" s="76"/>
      <c r="X28" s="76"/>
      <c r="Y28" s="76"/>
      <c r="Z28" s="76"/>
      <c r="AA28" s="76"/>
    </row>
    <row r="29">
      <c r="A29" s="76"/>
      <c r="B29" s="76"/>
      <c r="D29" s="76"/>
      <c r="E29" s="76"/>
      <c r="F29" s="76"/>
      <c r="G29" s="76"/>
      <c r="H29" s="76"/>
      <c r="I29" s="76"/>
      <c r="J29" s="76"/>
      <c r="K29" s="76"/>
      <c r="L29" s="76"/>
      <c r="M29" s="76"/>
      <c r="N29" s="76"/>
      <c r="O29" s="76"/>
      <c r="P29" s="76"/>
      <c r="Q29" s="76"/>
      <c r="R29" s="76"/>
      <c r="S29" s="76"/>
      <c r="T29" s="76"/>
      <c r="U29" s="76"/>
      <c r="V29" s="76"/>
      <c r="W29" s="76"/>
      <c r="X29" s="76"/>
      <c r="Y29" s="76"/>
      <c r="Z29" s="76"/>
      <c r="AA29" s="76"/>
    </row>
    <row r="30">
      <c r="A30" s="76"/>
      <c r="B30" s="76"/>
      <c r="D30" s="76"/>
      <c r="E30" s="76"/>
      <c r="F30" s="76"/>
      <c r="G30" s="76"/>
      <c r="H30" s="76"/>
      <c r="I30" s="76"/>
      <c r="J30" s="76"/>
      <c r="K30" s="76"/>
      <c r="L30" s="76"/>
      <c r="M30" s="76"/>
      <c r="N30" s="76"/>
      <c r="O30" s="76"/>
      <c r="P30" s="76"/>
      <c r="Q30" s="76"/>
      <c r="R30" s="76"/>
      <c r="S30" s="76"/>
      <c r="T30" s="76"/>
      <c r="U30" s="76"/>
      <c r="V30" s="76"/>
      <c r="W30" s="76"/>
      <c r="X30" s="76"/>
      <c r="Y30" s="76"/>
      <c r="Z30" s="76"/>
      <c r="AA30" s="76"/>
    </row>
    <row r="31">
      <c r="A31" s="76"/>
      <c r="B31" s="76"/>
      <c r="D31" s="76"/>
      <c r="E31" s="76"/>
      <c r="F31" s="76"/>
      <c r="G31" s="76"/>
      <c r="H31" s="76"/>
      <c r="I31" s="76"/>
      <c r="J31" s="76"/>
      <c r="K31" s="76"/>
      <c r="L31" s="76"/>
      <c r="M31" s="76"/>
      <c r="N31" s="76"/>
      <c r="O31" s="76"/>
      <c r="P31" s="76"/>
      <c r="Q31" s="76"/>
      <c r="R31" s="76"/>
      <c r="S31" s="76"/>
      <c r="T31" s="76"/>
      <c r="U31" s="76"/>
      <c r="V31" s="76"/>
      <c r="W31" s="76"/>
      <c r="X31" s="76"/>
      <c r="Y31" s="76"/>
      <c r="Z31" s="76"/>
      <c r="AA31" s="76"/>
    </row>
    <row r="32">
      <c r="A32" s="76"/>
      <c r="B32" s="76"/>
      <c r="D32" s="76"/>
      <c r="E32" s="76"/>
      <c r="F32" s="76"/>
      <c r="G32" s="76"/>
      <c r="H32" s="76"/>
      <c r="I32" s="76"/>
      <c r="J32" s="76"/>
      <c r="K32" s="76"/>
      <c r="L32" s="76"/>
      <c r="M32" s="76"/>
      <c r="N32" s="76"/>
      <c r="O32" s="76"/>
      <c r="P32" s="76"/>
      <c r="Q32" s="76"/>
      <c r="R32" s="76"/>
      <c r="S32" s="76"/>
      <c r="T32" s="76"/>
      <c r="U32" s="76"/>
      <c r="V32" s="76"/>
      <c r="W32" s="76"/>
      <c r="X32" s="76"/>
      <c r="Y32" s="76"/>
      <c r="Z32" s="76"/>
      <c r="AA32" s="76"/>
    </row>
    <row r="33">
      <c r="A33" s="76"/>
      <c r="B33" s="76"/>
      <c r="D33" s="76"/>
      <c r="E33" s="76"/>
      <c r="F33" s="76"/>
      <c r="G33" s="76"/>
      <c r="H33" s="76"/>
      <c r="I33" s="76"/>
      <c r="J33" s="76"/>
      <c r="K33" s="76"/>
      <c r="L33" s="76"/>
      <c r="M33" s="76"/>
      <c r="N33" s="76"/>
      <c r="O33" s="76"/>
      <c r="P33" s="76"/>
      <c r="Q33" s="76"/>
      <c r="R33" s="76"/>
      <c r="S33" s="76"/>
      <c r="T33" s="76"/>
      <c r="U33" s="76"/>
      <c r="V33" s="76"/>
      <c r="W33" s="76"/>
      <c r="X33" s="76"/>
      <c r="Y33" s="76"/>
      <c r="Z33" s="76"/>
      <c r="AA33" s="76"/>
    </row>
    <row r="34">
      <c r="A34" s="76"/>
      <c r="B34" s="76"/>
      <c r="D34" s="76"/>
      <c r="E34" s="76"/>
      <c r="F34" s="76"/>
      <c r="G34" s="76"/>
      <c r="H34" s="76"/>
      <c r="I34" s="76"/>
      <c r="J34" s="76"/>
      <c r="K34" s="76"/>
      <c r="L34" s="76"/>
      <c r="M34" s="76"/>
      <c r="N34" s="76"/>
      <c r="O34" s="76"/>
      <c r="P34" s="76"/>
      <c r="Q34" s="76"/>
      <c r="R34" s="76"/>
      <c r="S34" s="76"/>
      <c r="T34" s="76"/>
      <c r="U34" s="76"/>
      <c r="V34" s="76"/>
      <c r="W34" s="76"/>
      <c r="X34" s="76"/>
      <c r="Y34" s="76"/>
      <c r="Z34" s="76"/>
      <c r="AA34" s="76"/>
    </row>
    <row r="35">
      <c r="A35" s="76"/>
      <c r="B35" s="76"/>
      <c r="D35" s="76"/>
      <c r="E35" s="76"/>
      <c r="F35" s="76"/>
      <c r="G35" s="76"/>
      <c r="H35" s="76"/>
      <c r="I35" s="76"/>
      <c r="J35" s="76"/>
      <c r="K35" s="76"/>
      <c r="L35" s="76"/>
      <c r="M35" s="76"/>
      <c r="N35" s="76"/>
      <c r="O35" s="76"/>
      <c r="P35" s="76"/>
      <c r="Q35" s="76"/>
      <c r="R35" s="76"/>
      <c r="S35" s="76"/>
      <c r="T35" s="76"/>
      <c r="U35" s="76"/>
      <c r="V35" s="76"/>
      <c r="W35" s="76"/>
      <c r="X35" s="76"/>
      <c r="Y35" s="76"/>
      <c r="Z35" s="76"/>
      <c r="AA35" s="76"/>
    </row>
    <row r="36">
      <c r="A36" s="76"/>
      <c r="B36" s="76"/>
      <c r="D36" s="76"/>
      <c r="E36" s="76"/>
      <c r="F36" s="76"/>
      <c r="G36" s="76"/>
      <c r="H36" s="76"/>
      <c r="I36" s="76"/>
      <c r="J36" s="76"/>
      <c r="K36" s="76"/>
      <c r="L36" s="76"/>
      <c r="M36" s="76"/>
      <c r="N36" s="76"/>
      <c r="O36" s="76"/>
      <c r="P36" s="76"/>
      <c r="Q36" s="76"/>
      <c r="R36" s="76"/>
      <c r="S36" s="76"/>
      <c r="T36" s="76"/>
      <c r="U36" s="76"/>
      <c r="V36" s="76"/>
      <c r="W36" s="76"/>
      <c r="X36" s="76"/>
      <c r="Y36" s="76"/>
      <c r="Z36" s="76"/>
      <c r="AA36" s="76"/>
    </row>
    <row r="37">
      <c r="A37" s="76"/>
      <c r="B37" s="76"/>
      <c r="D37" s="76"/>
      <c r="E37" s="76"/>
      <c r="F37" s="76"/>
      <c r="G37" s="76"/>
      <c r="H37" s="76"/>
      <c r="I37" s="76"/>
      <c r="J37" s="76"/>
      <c r="K37" s="76"/>
      <c r="L37" s="76"/>
      <c r="M37" s="76"/>
      <c r="N37" s="76"/>
      <c r="O37" s="76"/>
      <c r="P37" s="76"/>
      <c r="Q37" s="76"/>
      <c r="R37" s="76"/>
      <c r="S37" s="76"/>
      <c r="T37" s="76"/>
      <c r="U37" s="76"/>
      <c r="V37" s="76"/>
      <c r="W37" s="76"/>
      <c r="X37" s="76"/>
      <c r="Y37" s="76"/>
      <c r="Z37" s="76"/>
      <c r="AA37" s="76"/>
    </row>
    <row r="38">
      <c r="A38" s="76"/>
      <c r="B38" s="76"/>
      <c r="D38" s="76"/>
      <c r="E38" s="76"/>
      <c r="F38" s="76"/>
      <c r="G38" s="76"/>
      <c r="H38" s="76"/>
      <c r="I38" s="76"/>
      <c r="J38" s="76"/>
      <c r="K38" s="76"/>
      <c r="L38" s="76"/>
      <c r="M38" s="76"/>
      <c r="N38" s="76"/>
      <c r="O38" s="76"/>
      <c r="P38" s="76"/>
      <c r="Q38" s="76"/>
      <c r="R38" s="76"/>
      <c r="S38" s="76"/>
      <c r="T38" s="76"/>
      <c r="U38" s="76"/>
      <c r="V38" s="76"/>
      <c r="W38" s="76"/>
      <c r="X38" s="76"/>
      <c r="Y38" s="76"/>
      <c r="Z38" s="76"/>
      <c r="AA38" s="76"/>
    </row>
    <row r="39">
      <c r="A39" s="76"/>
      <c r="B39" s="76"/>
      <c r="D39" s="76"/>
      <c r="E39" s="76"/>
      <c r="F39" s="76"/>
      <c r="G39" s="76"/>
      <c r="H39" s="76"/>
      <c r="I39" s="76"/>
      <c r="J39" s="76"/>
      <c r="K39" s="76"/>
      <c r="L39" s="76"/>
      <c r="M39" s="76"/>
      <c r="N39" s="76"/>
      <c r="O39" s="76"/>
      <c r="P39" s="76"/>
      <c r="Q39" s="76"/>
      <c r="R39" s="76"/>
      <c r="S39" s="76"/>
      <c r="T39" s="76"/>
      <c r="U39" s="76"/>
      <c r="V39" s="76"/>
      <c r="W39" s="76"/>
      <c r="X39" s="76"/>
      <c r="Y39" s="76"/>
      <c r="Z39" s="76"/>
      <c r="AA39" s="76"/>
    </row>
    <row r="40">
      <c r="A40" s="76"/>
      <c r="B40" s="76"/>
      <c r="D40" s="76"/>
      <c r="E40" s="76"/>
      <c r="F40" s="76"/>
      <c r="G40" s="76"/>
      <c r="H40" s="76"/>
      <c r="I40" s="76"/>
      <c r="J40" s="76"/>
      <c r="K40" s="76"/>
      <c r="L40" s="76"/>
      <c r="M40" s="76"/>
      <c r="N40" s="76"/>
      <c r="O40" s="76"/>
      <c r="P40" s="76"/>
      <c r="Q40" s="76"/>
      <c r="R40" s="76"/>
      <c r="S40" s="76"/>
      <c r="T40" s="76"/>
      <c r="U40" s="76"/>
      <c r="V40" s="76"/>
      <c r="W40" s="76"/>
      <c r="X40" s="76"/>
      <c r="Y40" s="76"/>
      <c r="Z40" s="76"/>
      <c r="AA40" s="76"/>
    </row>
    <row r="41">
      <c r="A41" s="76"/>
      <c r="B41" s="76"/>
      <c r="D41" s="76"/>
      <c r="E41" s="76"/>
      <c r="F41" s="76"/>
      <c r="G41" s="76"/>
      <c r="H41" s="76"/>
      <c r="I41" s="76"/>
      <c r="J41" s="76"/>
      <c r="K41" s="76"/>
      <c r="L41" s="76"/>
      <c r="M41" s="76"/>
      <c r="N41" s="76"/>
      <c r="O41" s="76"/>
      <c r="P41" s="76"/>
      <c r="Q41" s="76"/>
      <c r="R41" s="76"/>
      <c r="S41" s="76"/>
      <c r="T41" s="76"/>
      <c r="U41" s="76"/>
      <c r="V41" s="76"/>
      <c r="W41" s="76"/>
      <c r="X41" s="76"/>
      <c r="Y41" s="76"/>
      <c r="Z41" s="76"/>
      <c r="AA41" s="76"/>
    </row>
    <row r="42">
      <c r="A42" s="76"/>
      <c r="B42" s="76"/>
      <c r="D42" s="76"/>
      <c r="E42" s="76"/>
      <c r="F42" s="76"/>
      <c r="G42" s="76"/>
      <c r="H42" s="76"/>
      <c r="I42" s="76"/>
      <c r="J42" s="76"/>
      <c r="K42" s="76"/>
      <c r="L42" s="76"/>
      <c r="M42" s="76"/>
      <c r="N42" s="76"/>
      <c r="O42" s="76"/>
      <c r="P42" s="76"/>
      <c r="Q42" s="76"/>
      <c r="R42" s="76"/>
      <c r="S42" s="76"/>
      <c r="T42" s="76"/>
      <c r="U42" s="76"/>
      <c r="V42" s="76"/>
      <c r="W42" s="76"/>
      <c r="X42" s="76"/>
      <c r="Y42" s="76"/>
      <c r="Z42" s="76"/>
      <c r="AA42" s="76"/>
    </row>
    <row r="43">
      <c r="A43" s="76"/>
      <c r="B43" s="76"/>
      <c r="D43" s="76"/>
      <c r="E43" s="76"/>
      <c r="F43" s="76"/>
      <c r="G43" s="76"/>
      <c r="H43" s="76"/>
      <c r="I43" s="76"/>
      <c r="J43" s="76"/>
      <c r="K43" s="76"/>
      <c r="L43" s="76"/>
      <c r="M43" s="76"/>
      <c r="N43" s="76"/>
      <c r="O43" s="76"/>
      <c r="P43" s="76"/>
      <c r="Q43" s="76"/>
      <c r="R43" s="76"/>
      <c r="S43" s="76"/>
      <c r="T43" s="76"/>
      <c r="U43" s="76"/>
      <c r="V43" s="76"/>
      <c r="W43" s="76"/>
      <c r="X43" s="76"/>
      <c r="Y43" s="76"/>
      <c r="Z43" s="76"/>
      <c r="AA43" s="76"/>
    </row>
    <row r="44">
      <c r="A44" s="76"/>
      <c r="B44" s="76"/>
      <c r="D44" s="76"/>
      <c r="E44" s="76"/>
      <c r="F44" s="76"/>
      <c r="G44" s="76"/>
      <c r="H44" s="76"/>
      <c r="I44" s="76"/>
      <c r="J44" s="76"/>
      <c r="K44" s="76"/>
      <c r="L44" s="76"/>
      <c r="M44" s="76"/>
      <c r="N44" s="76"/>
      <c r="O44" s="76"/>
      <c r="P44" s="76"/>
      <c r="Q44" s="76"/>
      <c r="R44" s="76"/>
      <c r="S44" s="76"/>
      <c r="T44" s="76"/>
      <c r="U44" s="76"/>
      <c r="V44" s="76"/>
      <c r="W44" s="76"/>
      <c r="X44" s="76"/>
      <c r="Y44" s="76"/>
      <c r="Z44" s="76"/>
      <c r="AA44" s="76"/>
    </row>
    <row r="45">
      <c r="A45" s="76"/>
      <c r="B45" s="76"/>
      <c r="D45" s="76"/>
      <c r="E45" s="76"/>
      <c r="F45" s="76"/>
      <c r="G45" s="76"/>
      <c r="H45" s="76"/>
      <c r="I45" s="76"/>
      <c r="J45" s="76"/>
      <c r="K45" s="76"/>
      <c r="L45" s="76"/>
      <c r="M45" s="76"/>
      <c r="N45" s="76"/>
      <c r="O45" s="76"/>
      <c r="P45" s="76"/>
      <c r="Q45" s="76"/>
      <c r="R45" s="76"/>
      <c r="S45" s="76"/>
      <c r="T45" s="76"/>
      <c r="U45" s="76"/>
      <c r="V45" s="76"/>
      <c r="W45" s="76"/>
      <c r="X45" s="76"/>
      <c r="Y45" s="76"/>
      <c r="Z45" s="76"/>
      <c r="AA45" s="76"/>
    </row>
    <row r="46">
      <c r="A46" s="76"/>
      <c r="B46" s="76"/>
      <c r="D46" s="76"/>
      <c r="E46" s="76"/>
      <c r="F46" s="76"/>
      <c r="G46" s="76"/>
      <c r="H46" s="76"/>
      <c r="I46" s="76"/>
      <c r="J46" s="76"/>
      <c r="K46" s="76"/>
      <c r="L46" s="76"/>
      <c r="M46" s="76"/>
      <c r="N46" s="76"/>
      <c r="O46" s="76"/>
      <c r="P46" s="76"/>
      <c r="Q46" s="76"/>
      <c r="R46" s="76"/>
      <c r="S46" s="76"/>
      <c r="T46" s="76"/>
      <c r="U46" s="76"/>
      <c r="V46" s="76"/>
      <c r="W46" s="76"/>
      <c r="X46" s="76"/>
      <c r="Y46" s="76"/>
      <c r="Z46" s="76"/>
      <c r="AA46" s="76"/>
    </row>
    <row r="47">
      <c r="A47" s="76"/>
      <c r="B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8">
      <c r="A48" s="76"/>
      <c r="B48" s="76"/>
      <c r="D48" s="76"/>
      <c r="E48" s="76"/>
      <c r="F48" s="76"/>
      <c r="G48" s="76"/>
      <c r="H48" s="76"/>
      <c r="I48" s="76"/>
      <c r="J48" s="76"/>
      <c r="K48" s="76"/>
      <c r="L48" s="76"/>
      <c r="M48" s="76"/>
      <c r="N48" s="76"/>
      <c r="O48" s="76"/>
      <c r="P48" s="76"/>
      <c r="Q48" s="76"/>
      <c r="R48" s="76"/>
      <c r="S48" s="76"/>
      <c r="T48" s="76"/>
      <c r="U48" s="76"/>
      <c r="V48" s="76"/>
      <c r="W48" s="76"/>
      <c r="X48" s="76"/>
      <c r="Y48" s="76"/>
      <c r="Z48" s="76"/>
      <c r="AA48" s="76"/>
    </row>
    <row r="49">
      <c r="A49" s="76"/>
      <c r="B49" s="76"/>
      <c r="D49" s="76"/>
      <c r="E49" s="76"/>
      <c r="F49" s="76"/>
      <c r="G49" s="76"/>
      <c r="H49" s="76"/>
      <c r="I49" s="76"/>
      <c r="J49" s="76"/>
      <c r="K49" s="76"/>
      <c r="L49" s="76"/>
      <c r="M49" s="76"/>
      <c r="N49" s="76"/>
      <c r="O49" s="76"/>
      <c r="P49" s="76"/>
      <c r="Q49" s="76"/>
      <c r="R49" s="76"/>
      <c r="S49" s="76"/>
      <c r="T49" s="76"/>
      <c r="U49" s="76"/>
      <c r="V49" s="76"/>
      <c r="W49" s="76"/>
      <c r="X49" s="76"/>
      <c r="Y49" s="76"/>
      <c r="Z49" s="76"/>
      <c r="AA49" s="76"/>
    </row>
    <row r="50">
      <c r="A50" s="76"/>
      <c r="B50" s="76"/>
      <c r="D50" s="76"/>
      <c r="E50" s="76"/>
      <c r="F50" s="76"/>
      <c r="G50" s="76"/>
      <c r="H50" s="76"/>
      <c r="I50" s="76"/>
      <c r="J50" s="76"/>
      <c r="K50" s="76"/>
      <c r="L50" s="76"/>
      <c r="M50" s="76"/>
      <c r="N50" s="76"/>
      <c r="O50" s="76"/>
      <c r="P50" s="76"/>
      <c r="Q50" s="76"/>
      <c r="R50" s="76"/>
      <c r="S50" s="76"/>
      <c r="T50" s="76"/>
      <c r="U50" s="76"/>
      <c r="V50" s="76"/>
      <c r="W50" s="76"/>
      <c r="X50" s="76"/>
      <c r="Y50" s="76"/>
      <c r="Z50" s="76"/>
      <c r="AA50" s="76"/>
    </row>
    <row r="51">
      <c r="A51" s="76"/>
      <c r="B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c r="A52" s="76"/>
      <c r="B52" s="76"/>
      <c r="D52" s="76"/>
      <c r="E52" s="76"/>
      <c r="F52" s="76"/>
      <c r="G52" s="76"/>
      <c r="H52" s="76"/>
      <c r="I52" s="76"/>
      <c r="J52" s="76"/>
      <c r="K52" s="76"/>
      <c r="L52" s="76"/>
      <c r="M52" s="76"/>
      <c r="N52" s="76"/>
      <c r="O52" s="76"/>
      <c r="P52" s="76"/>
      <c r="Q52" s="76"/>
      <c r="R52" s="76"/>
      <c r="S52" s="76"/>
      <c r="T52" s="76"/>
      <c r="U52" s="76"/>
      <c r="V52" s="76"/>
      <c r="W52" s="76"/>
      <c r="X52" s="76"/>
      <c r="Y52" s="76"/>
      <c r="Z52" s="76"/>
      <c r="AA52" s="76"/>
    </row>
    <row r="53">
      <c r="A53" s="76"/>
      <c r="B53" s="76"/>
      <c r="D53" s="76"/>
      <c r="E53" s="76"/>
      <c r="F53" s="76"/>
      <c r="G53" s="76"/>
      <c r="H53" s="76"/>
      <c r="I53" s="76"/>
      <c r="J53" s="76"/>
      <c r="K53" s="76"/>
      <c r="L53" s="76"/>
      <c r="M53" s="76"/>
      <c r="N53" s="76"/>
      <c r="O53" s="76"/>
      <c r="P53" s="76"/>
      <c r="Q53" s="76"/>
      <c r="R53" s="76"/>
      <c r="S53" s="76"/>
      <c r="T53" s="76"/>
      <c r="U53" s="76"/>
      <c r="V53" s="76"/>
      <c r="W53" s="76"/>
      <c r="X53" s="76"/>
      <c r="Y53" s="76"/>
      <c r="Z53" s="76"/>
      <c r="AA53" s="76"/>
    </row>
    <row r="54">
      <c r="A54" s="76"/>
      <c r="B54" s="76"/>
      <c r="D54" s="76"/>
      <c r="E54" s="76"/>
      <c r="F54" s="76"/>
      <c r="G54" s="76"/>
      <c r="H54" s="76"/>
      <c r="I54" s="76"/>
      <c r="J54" s="76"/>
      <c r="K54" s="76"/>
      <c r="L54" s="76"/>
      <c r="M54" s="76"/>
      <c r="N54" s="76"/>
      <c r="O54" s="76"/>
      <c r="P54" s="76"/>
      <c r="Q54" s="76"/>
      <c r="R54" s="76"/>
      <c r="S54" s="76"/>
      <c r="T54" s="76"/>
      <c r="U54" s="76"/>
      <c r="V54" s="76"/>
      <c r="W54" s="76"/>
      <c r="X54" s="76"/>
      <c r="Y54" s="76"/>
      <c r="Z54" s="76"/>
      <c r="AA54" s="76"/>
    </row>
    <row r="55">
      <c r="A55" s="76"/>
      <c r="B55" s="76"/>
      <c r="D55" s="76"/>
      <c r="E55" s="76"/>
      <c r="F55" s="76"/>
      <c r="G55" s="76"/>
      <c r="H55" s="76"/>
      <c r="I55" s="76"/>
      <c r="J55" s="76"/>
      <c r="K55" s="76"/>
      <c r="L55" s="76"/>
      <c r="M55" s="76"/>
      <c r="N55" s="76"/>
      <c r="O55" s="76"/>
      <c r="P55" s="76"/>
      <c r="Q55" s="76"/>
      <c r="R55" s="76"/>
      <c r="S55" s="76"/>
      <c r="T55" s="76"/>
      <c r="U55" s="76"/>
      <c r="V55" s="76"/>
      <c r="W55" s="76"/>
      <c r="X55" s="76"/>
      <c r="Y55" s="76"/>
      <c r="Z55" s="76"/>
      <c r="AA55" s="76"/>
    </row>
    <row r="56">
      <c r="A56" s="76"/>
      <c r="B56" s="76"/>
      <c r="D56" s="76"/>
      <c r="E56" s="76"/>
      <c r="F56" s="76"/>
      <c r="G56" s="76"/>
      <c r="H56" s="76"/>
      <c r="I56" s="76"/>
      <c r="J56" s="76"/>
      <c r="K56" s="76"/>
      <c r="L56" s="76"/>
      <c r="M56" s="76"/>
      <c r="N56" s="76"/>
      <c r="O56" s="76"/>
      <c r="P56" s="76"/>
      <c r="Q56" s="76"/>
      <c r="R56" s="76"/>
      <c r="S56" s="76"/>
      <c r="T56" s="76"/>
      <c r="U56" s="76"/>
      <c r="V56" s="76"/>
      <c r="W56" s="76"/>
      <c r="X56" s="76"/>
      <c r="Y56" s="76"/>
      <c r="Z56" s="76"/>
      <c r="AA56" s="76"/>
    </row>
    <row r="57">
      <c r="A57" s="76"/>
      <c r="B57" s="76"/>
      <c r="D57" s="76"/>
      <c r="E57" s="76"/>
      <c r="F57" s="76"/>
      <c r="G57" s="76"/>
      <c r="H57" s="76"/>
      <c r="I57" s="76"/>
      <c r="J57" s="76"/>
      <c r="K57" s="76"/>
      <c r="L57" s="76"/>
      <c r="M57" s="76"/>
      <c r="N57" s="76"/>
      <c r="O57" s="76"/>
      <c r="P57" s="76"/>
      <c r="Q57" s="76"/>
      <c r="R57" s="76"/>
      <c r="S57" s="76"/>
      <c r="T57" s="76"/>
      <c r="U57" s="76"/>
      <c r="V57" s="76"/>
      <c r="W57" s="76"/>
      <c r="X57" s="76"/>
      <c r="Y57" s="76"/>
      <c r="Z57" s="76"/>
      <c r="AA57" s="76"/>
    </row>
    <row r="58">
      <c r="A58" s="76"/>
      <c r="B58" s="76"/>
      <c r="D58" s="76"/>
      <c r="E58" s="76"/>
      <c r="F58" s="76"/>
      <c r="G58" s="76"/>
      <c r="H58" s="76"/>
      <c r="I58" s="76"/>
      <c r="J58" s="76"/>
      <c r="K58" s="76"/>
      <c r="L58" s="76"/>
      <c r="M58" s="76"/>
      <c r="N58" s="76"/>
      <c r="O58" s="76"/>
      <c r="P58" s="76"/>
      <c r="Q58" s="76"/>
      <c r="R58" s="76"/>
      <c r="S58" s="76"/>
      <c r="T58" s="76"/>
      <c r="U58" s="76"/>
      <c r="V58" s="76"/>
      <c r="W58" s="76"/>
      <c r="X58" s="76"/>
      <c r="Y58" s="76"/>
      <c r="Z58" s="76"/>
      <c r="AA58" s="76"/>
    </row>
    <row r="59">
      <c r="A59" s="76"/>
      <c r="B59" s="76"/>
      <c r="D59" s="76"/>
      <c r="E59" s="76"/>
      <c r="F59" s="76"/>
      <c r="G59" s="76"/>
      <c r="H59" s="76"/>
      <c r="I59" s="76"/>
      <c r="J59" s="76"/>
      <c r="K59" s="76"/>
      <c r="L59" s="76"/>
      <c r="M59" s="76"/>
      <c r="N59" s="76"/>
      <c r="O59" s="76"/>
      <c r="P59" s="76"/>
      <c r="Q59" s="76"/>
      <c r="R59" s="76"/>
      <c r="S59" s="76"/>
      <c r="T59" s="76"/>
      <c r="U59" s="76"/>
      <c r="V59" s="76"/>
      <c r="W59" s="76"/>
      <c r="X59" s="76"/>
      <c r="Y59" s="76"/>
      <c r="Z59" s="76"/>
      <c r="AA59" s="76"/>
    </row>
    <row r="60">
      <c r="A60" s="76"/>
      <c r="B60" s="76"/>
      <c r="D60" s="76"/>
      <c r="E60" s="76"/>
      <c r="F60" s="76"/>
      <c r="G60" s="76"/>
      <c r="H60" s="76"/>
      <c r="I60" s="76"/>
      <c r="J60" s="76"/>
      <c r="K60" s="76"/>
      <c r="L60" s="76"/>
      <c r="M60" s="76"/>
      <c r="N60" s="76"/>
      <c r="O60" s="76"/>
      <c r="P60" s="76"/>
      <c r="Q60" s="76"/>
      <c r="R60" s="76"/>
      <c r="S60" s="76"/>
      <c r="T60" s="76"/>
      <c r="U60" s="76"/>
      <c r="V60" s="76"/>
      <c r="W60" s="76"/>
      <c r="X60" s="76"/>
      <c r="Y60" s="76"/>
      <c r="Z60" s="76"/>
      <c r="AA60" s="76"/>
    </row>
    <row r="61">
      <c r="A61" s="76"/>
      <c r="B61" s="76"/>
      <c r="D61" s="76"/>
      <c r="E61" s="76"/>
      <c r="F61" s="76"/>
      <c r="G61" s="76"/>
      <c r="H61" s="76"/>
      <c r="I61" s="76"/>
      <c r="J61" s="76"/>
      <c r="K61" s="76"/>
      <c r="L61" s="76"/>
      <c r="M61" s="76"/>
      <c r="N61" s="76"/>
      <c r="O61" s="76"/>
      <c r="P61" s="76"/>
      <c r="Q61" s="76"/>
      <c r="R61" s="76"/>
      <c r="S61" s="76"/>
      <c r="T61" s="76"/>
      <c r="U61" s="76"/>
      <c r="V61" s="76"/>
      <c r="W61" s="76"/>
      <c r="X61" s="76"/>
      <c r="Y61" s="76"/>
      <c r="Z61" s="76"/>
      <c r="AA61" s="76"/>
    </row>
    <row r="62">
      <c r="A62" s="76"/>
      <c r="B62" s="76"/>
      <c r="D62" s="76"/>
      <c r="E62" s="76"/>
      <c r="F62" s="76"/>
      <c r="G62" s="76"/>
      <c r="H62" s="76"/>
      <c r="I62" s="76"/>
      <c r="J62" s="76"/>
      <c r="K62" s="76"/>
      <c r="L62" s="76"/>
      <c r="M62" s="76"/>
      <c r="N62" s="76"/>
      <c r="O62" s="76"/>
      <c r="P62" s="76"/>
      <c r="Q62" s="76"/>
      <c r="R62" s="76"/>
      <c r="S62" s="76"/>
      <c r="T62" s="76"/>
      <c r="U62" s="76"/>
      <c r="V62" s="76"/>
      <c r="W62" s="76"/>
      <c r="X62" s="76"/>
      <c r="Y62" s="76"/>
      <c r="Z62" s="76"/>
      <c r="AA62" s="76"/>
    </row>
    <row r="63">
      <c r="A63" s="76"/>
      <c r="B63" s="76"/>
      <c r="D63" s="76"/>
      <c r="E63" s="76"/>
      <c r="F63" s="76"/>
      <c r="G63" s="76"/>
      <c r="H63" s="76"/>
      <c r="I63" s="76"/>
      <c r="J63" s="76"/>
      <c r="K63" s="76"/>
      <c r="L63" s="76"/>
      <c r="M63" s="76"/>
      <c r="N63" s="76"/>
      <c r="O63" s="76"/>
      <c r="P63" s="76"/>
      <c r="Q63" s="76"/>
      <c r="R63" s="76"/>
      <c r="S63" s="76"/>
      <c r="T63" s="76"/>
      <c r="U63" s="76"/>
      <c r="V63" s="76"/>
      <c r="W63" s="76"/>
      <c r="X63" s="76"/>
      <c r="Y63" s="76"/>
      <c r="Z63" s="76"/>
      <c r="AA63" s="76"/>
    </row>
    <row r="64">
      <c r="A64" s="76"/>
      <c r="B64" s="76"/>
      <c r="D64" s="76"/>
      <c r="E64" s="76"/>
      <c r="F64" s="76"/>
      <c r="G64" s="76"/>
      <c r="H64" s="76"/>
      <c r="I64" s="76"/>
      <c r="J64" s="76"/>
      <c r="K64" s="76"/>
      <c r="L64" s="76"/>
      <c r="M64" s="76"/>
      <c r="N64" s="76"/>
      <c r="O64" s="76"/>
      <c r="P64" s="76"/>
      <c r="Q64" s="76"/>
      <c r="R64" s="76"/>
      <c r="S64" s="76"/>
      <c r="T64" s="76"/>
      <c r="U64" s="76"/>
      <c r="V64" s="76"/>
      <c r="W64" s="76"/>
      <c r="X64" s="76"/>
      <c r="Y64" s="76"/>
      <c r="Z64" s="76"/>
      <c r="AA64" s="76"/>
    </row>
    <row r="65">
      <c r="F65" s="76"/>
      <c r="G65" s="76"/>
      <c r="H65" s="76"/>
      <c r="I65" s="76"/>
      <c r="J65" s="76"/>
    </row>
    <row r="66">
      <c r="F66" s="76"/>
      <c r="G66" s="76"/>
      <c r="H66" s="76"/>
      <c r="I66" s="76"/>
      <c r="J66" s="76"/>
    </row>
    <row r="67">
      <c r="F67" s="76"/>
      <c r="G67" s="76"/>
      <c r="H67" s="76"/>
      <c r="I67" s="76"/>
      <c r="J67" s="76"/>
    </row>
    <row r="68">
      <c r="F68" s="76"/>
      <c r="G68" s="76"/>
      <c r="H68" s="76"/>
      <c r="I68" s="76"/>
      <c r="J68" s="76"/>
    </row>
    <row r="69">
      <c r="F69" s="76"/>
      <c r="G69" s="76"/>
      <c r="H69" s="76"/>
      <c r="I69" s="76"/>
      <c r="J69" s="76"/>
    </row>
    <row r="70">
      <c r="F70" s="76"/>
      <c r="G70" s="76"/>
      <c r="H70" s="76"/>
      <c r="I70" s="76"/>
      <c r="J70" s="76"/>
    </row>
    <row r="71">
      <c r="F71" s="76"/>
      <c r="G71" s="76"/>
      <c r="H71" s="76"/>
      <c r="I71" s="76"/>
      <c r="J71" s="76"/>
    </row>
    <row r="72">
      <c r="F72" s="76"/>
      <c r="G72" s="76"/>
      <c r="H72" s="76"/>
      <c r="I72" s="76"/>
      <c r="J72" s="76"/>
    </row>
    <row r="73">
      <c r="F73" s="76"/>
      <c r="G73" s="76"/>
      <c r="H73" s="76"/>
      <c r="I73" s="76"/>
      <c r="J73" s="76"/>
    </row>
    <row r="74">
      <c r="F74" s="76"/>
      <c r="G74" s="76"/>
      <c r="H74" s="76"/>
      <c r="I74" s="76"/>
      <c r="J74" s="76"/>
    </row>
    <row r="75">
      <c r="F75" s="76"/>
      <c r="G75" s="76"/>
      <c r="H75" s="76"/>
      <c r="I75" s="76"/>
      <c r="J75" s="76"/>
    </row>
    <row r="76">
      <c r="F76" s="76"/>
      <c r="G76" s="76"/>
      <c r="H76" s="76"/>
      <c r="I76" s="76"/>
      <c r="J76" s="76"/>
    </row>
    <row r="77">
      <c r="F77" s="76"/>
      <c r="G77" s="76"/>
      <c r="H77" s="76"/>
      <c r="I77" s="76"/>
      <c r="J77" s="76"/>
    </row>
    <row r="78">
      <c r="F78" s="76"/>
      <c r="G78" s="76"/>
      <c r="H78" s="76"/>
      <c r="I78" s="76"/>
      <c r="J78" s="76"/>
    </row>
    <row r="79">
      <c r="F79" s="76"/>
      <c r="G79" s="76"/>
      <c r="H79" s="76"/>
      <c r="I79" s="76"/>
      <c r="J79" s="76"/>
    </row>
    <row r="80">
      <c r="F80" s="76"/>
      <c r="G80" s="76"/>
      <c r="H80" s="76"/>
      <c r="I80" s="76"/>
      <c r="J80" s="76"/>
    </row>
    <row r="81">
      <c r="F81" s="76"/>
      <c r="G81" s="76"/>
      <c r="H81" s="76"/>
      <c r="I81" s="76"/>
      <c r="J81" s="76"/>
    </row>
    <row r="82">
      <c r="F82" s="76"/>
      <c r="G82" s="76"/>
      <c r="H82" s="76"/>
      <c r="I82" s="76"/>
      <c r="J82" s="76"/>
    </row>
    <row r="83">
      <c r="F83" s="76"/>
      <c r="G83" s="76"/>
      <c r="H83" s="76"/>
      <c r="I83" s="76"/>
      <c r="J83" s="76"/>
    </row>
    <row r="84">
      <c r="F84" s="76"/>
      <c r="G84" s="76"/>
      <c r="H84" s="76"/>
      <c r="I84" s="76"/>
      <c r="J84" s="76"/>
    </row>
    <row r="85">
      <c r="F85" s="76"/>
      <c r="G85" s="76"/>
      <c r="H85" s="76"/>
      <c r="I85" s="76"/>
      <c r="J85" s="76"/>
    </row>
    <row r="86">
      <c r="F86" s="76"/>
      <c r="G86" s="76"/>
      <c r="H86" s="76"/>
      <c r="I86" s="76"/>
      <c r="J86" s="76"/>
    </row>
    <row r="87">
      <c r="F87" s="76"/>
      <c r="G87" s="76"/>
      <c r="H87" s="76"/>
      <c r="I87" s="76"/>
      <c r="J87" s="76"/>
    </row>
    <row r="88">
      <c r="F88" s="76"/>
      <c r="G88" s="76"/>
      <c r="H88" s="76"/>
      <c r="I88" s="76"/>
      <c r="J88" s="76"/>
    </row>
    <row r="89">
      <c r="F89" s="76"/>
      <c r="G89" s="76"/>
      <c r="H89" s="76"/>
      <c r="I89" s="76"/>
      <c r="J89" s="76"/>
    </row>
    <row r="90">
      <c r="F90" s="76"/>
      <c r="G90" s="76"/>
      <c r="H90" s="76"/>
      <c r="I90" s="76"/>
      <c r="J90" s="76"/>
    </row>
    <row r="91">
      <c r="F91" s="76"/>
      <c r="G91" s="76"/>
      <c r="H91" s="76"/>
      <c r="I91" s="76"/>
      <c r="J91" s="76"/>
    </row>
    <row r="92">
      <c r="F92" s="76"/>
      <c r="G92" s="76"/>
      <c r="H92" s="76"/>
      <c r="I92" s="76"/>
      <c r="J92" s="76"/>
    </row>
    <row r="93">
      <c r="F93" s="76"/>
      <c r="G93" s="76"/>
      <c r="H93" s="76"/>
      <c r="I93" s="76"/>
      <c r="J93" s="76"/>
    </row>
    <row r="94">
      <c r="F94" s="76"/>
      <c r="G94" s="76"/>
      <c r="H94" s="76"/>
      <c r="I94" s="76"/>
      <c r="J94" s="76"/>
    </row>
    <row r="95">
      <c r="F95" s="76"/>
      <c r="G95" s="76"/>
      <c r="H95" s="76"/>
      <c r="I95" s="76"/>
      <c r="J95" s="76"/>
    </row>
    <row r="96">
      <c r="F96" s="76"/>
      <c r="G96" s="76"/>
      <c r="H96" s="76"/>
      <c r="I96" s="76"/>
      <c r="J96" s="76"/>
    </row>
    <row r="97">
      <c r="F97" s="76"/>
      <c r="G97" s="76"/>
      <c r="H97" s="76"/>
      <c r="I97" s="76"/>
      <c r="J97" s="76"/>
    </row>
    <row r="98">
      <c r="F98" s="76"/>
      <c r="G98" s="76"/>
      <c r="H98" s="76"/>
      <c r="I98" s="76"/>
      <c r="J98" s="76"/>
    </row>
    <row r="99">
      <c r="F99" s="76"/>
      <c r="G99" s="76"/>
      <c r="H99" s="76"/>
      <c r="I99" s="76"/>
      <c r="J99" s="76"/>
    </row>
    <row r="100">
      <c r="F100" s="76"/>
      <c r="G100" s="76"/>
      <c r="H100" s="76"/>
      <c r="I100" s="76"/>
      <c r="J100" s="76"/>
    </row>
    <row r="101">
      <c r="F101" s="76"/>
      <c r="G101" s="76"/>
      <c r="H101" s="76"/>
      <c r="I101" s="76"/>
      <c r="J101" s="76"/>
    </row>
    <row r="102">
      <c r="F102" s="76"/>
      <c r="G102" s="76"/>
      <c r="H102" s="76"/>
      <c r="I102" s="76"/>
      <c r="J102" s="76"/>
    </row>
    <row r="103">
      <c r="F103" s="76"/>
      <c r="G103" s="76"/>
      <c r="H103" s="76"/>
      <c r="I103" s="76"/>
      <c r="J103" s="76"/>
    </row>
    <row r="104">
      <c r="F104" s="76"/>
      <c r="G104" s="76"/>
      <c r="H104" s="76"/>
      <c r="I104" s="76"/>
      <c r="J104" s="76"/>
    </row>
    <row r="105">
      <c r="F105" s="76"/>
      <c r="G105" s="76"/>
      <c r="H105" s="76"/>
      <c r="I105" s="76"/>
      <c r="J105" s="76"/>
    </row>
    <row r="106">
      <c r="F106" s="76"/>
      <c r="G106" s="76"/>
      <c r="H106" s="76"/>
      <c r="I106" s="76"/>
      <c r="J106" s="76"/>
    </row>
    <row r="107">
      <c r="F107" s="76"/>
      <c r="G107" s="76"/>
      <c r="H107" s="76"/>
      <c r="I107" s="76"/>
      <c r="J107" s="76"/>
    </row>
    <row r="108">
      <c r="F108" s="76"/>
      <c r="G108" s="76"/>
      <c r="H108" s="76"/>
      <c r="I108" s="76"/>
      <c r="J108" s="76"/>
    </row>
    <row r="109">
      <c r="F109" s="76"/>
      <c r="G109" s="76"/>
      <c r="H109" s="76"/>
      <c r="I109" s="76"/>
      <c r="J109" s="76"/>
    </row>
    <row r="110">
      <c r="F110" s="76"/>
      <c r="G110" s="76"/>
      <c r="H110" s="76"/>
      <c r="I110" s="76"/>
      <c r="J110" s="76"/>
    </row>
    <row r="111">
      <c r="F111" s="76"/>
      <c r="G111" s="76"/>
      <c r="H111" s="76"/>
      <c r="I111" s="76"/>
      <c r="J111" s="76"/>
    </row>
    <row r="112">
      <c r="F112" s="76"/>
      <c r="G112" s="76"/>
      <c r="H112" s="76"/>
      <c r="I112" s="76"/>
      <c r="J112" s="76"/>
    </row>
    <row r="113">
      <c r="F113" s="76"/>
      <c r="G113" s="76"/>
      <c r="H113" s="76"/>
      <c r="I113" s="76"/>
      <c r="J113" s="76"/>
    </row>
    <row r="114">
      <c r="F114" s="76"/>
      <c r="G114" s="76"/>
      <c r="H114" s="76"/>
      <c r="I114" s="76"/>
      <c r="J114" s="76"/>
    </row>
    <row r="115">
      <c r="F115" s="76"/>
      <c r="G115" s="76"/>
      <c r="H115" s="76"/>
      <c r="I115" s="76"/>
      <c r="J115" s="76"/>
    </row>
    <row r="116">
      <c r="F116" s="76"/>
      <c r="G116" s="76"/>
      <c r="H116" s="76"/>
      <c r="I116" s="76"/>
      <c r="J116" s="76"/>
    </row>
    <row r="117">
      <c r="F117" s="76"/>
      <c r="G117" s="76"/>
      <c r="H117" s="76"/>
      <c r="I117" s="76"/>
      <c r="J117" s="76"/>
    </row>
    <row r="118">
      <c r="F118" s="76"/>
      <c r="G118" s="76"/>
      <c r="H118" s="76"/>
      <c r="I118" s="76"/>
      <c r="J118" s="76"/>
    </row>
    <row r="119">
      <c r="F119" s="76"/>
      <c r="G119" s="76"/>
      <c r="H119" s="76"/>
      <c r="I119" s="76"/>
      <c r="J119" s="76"/>
    </row>
    <row r="120">
      <c r="F120" s="76"/>
      <c r="G120" s="76"/>
      <c r="H120" s="76"/>
      <c r="I120" s="76"/>
      <c r="J120" s="76"/>
    </row>
    <row r="121">
      <c r="F121" s="76"/>
      <c r="G121" s="76"/>
      <c r="H121" s="76"/>
      <c r="I121" s="76"/>
      <c r="J121" s="76"/>
    </row>
    <row r="122">
      <c r="F122" s="76"/>
      <c r="G122" s="76"/>
      <c r="H122" s="76"/>
      <c r="I122" s="76"/>
      <c r="J122" s="76"/>
    </row>
    <row r="123">
      <c r="F123" s="76"/>
      <c r="G123" s="76"/>
      <c r="H123" s="76"/>
      <c r="I123" s="76"/>
      <c r="J123" s="76"/>
    </row>
    <row r="124">
      <c r="F124" s="76"/>
      <c r="G124" s="76"/>
      <c r="H124" s="76"/>
      <c r="I124" s="76"/>
      <c r="J124" s="76"/>
    </row>
    <row r="125">
      <c r="F125" s="76"/>
      <c r="G125" s="76"/>
      <c r="H125" s="76"/>
      <c r="I125" s="76"/>
      <c r="J125" s="76"/>
    </row>
    <row r="126">
      <c r="F126" s="76"/>
      <c r="G126" s="76"/>
      <c r="H126" s="76"/>
      <c r="I126" s="76"/>
      <c r="J126" s="76"/>
    </row>
    <row r="127">
      <c r="F127" s="76"/>
      <c r="G127" s="76"/>
      <c r="H127" s="76"/>
      <c r="I127" s="76"/>
      <c r="J127" s="76"/>
    </row>
    <row r="128">
      <c r="F128" s="76"/>
      <c r="G128" s="76"/>
      <c r="H128" s="76"/>
      <c r="I128" s="76"/>
      <c r="J128" s="76"/>
    </row>
    <row r="129">
      <c r="F129" s="76"/>
      <c r="G129" s="76"/>
      <c r="H129" s="76"/>
      <c r="I129" s="76"/>
      <c r="J129" s="76"/>
    </row>
    <row r="130">
      <c r="F130" s="76"/>
      <c r="G130" s="76"/>
      <c r="H130" s="76"/>
      <c r="I130" s="76"/>
      <c r="J130" s="76"/>
    </row>
    <row r="131">
      <c r="F131" s="76"/>
      <c r="G131" s="76"/>
      <c r="H131" s="76"/>
      <c r="I131" s="76"/>
      <c r="J131" s="76"/>
    </row>
    <row r="132">
      <c r="F132" s="76"/>
      <c r="G132" s="76"/>
      <c r="H132" s="76"/>
      <c r="I132" s="76"/>
      <c r="J132" s="76"/>
    </row>
    <row r="133">
      <c r="F133" s="76"/>
      <c r="G133" s="76"/>
      <c r="H133" s="76"/>
      <c r="I133" s="76"/>
      <c r="J133" s="76"/>
    </row>
    <row r="134">
      <c r="F134" s="76"/>
      <c r="G134" s="76"/>
      <c r="H134" s="76"/>
      <c r="I134" s="76"/>
      <c r="J134" s="76"/>
    </row>
    <row r="135">
      <c r="F135" s="76"/>
      <c r="G135" s="76"/>
      <c r="H135" s="76"/>
      <c r="I135" s="76"/>
      <c r="J135" s="76"/>
    </row>
    <row r="136">
      <c r="F136" s="76"/>
      <c r="G136" s="76"/>
      <c r="H136" s="76"/>
      <c r="I136" s="76"/>
      <c r="J136" s="76"/>
    </row>
    <row r="137">
      <c r="F137" s="76"/>
      <c r="G137" s="76"/>
      <c r="H137" s="76"/>
      <c r="I137" s="76"/>
      <c r="J137" s="76"/>
    </row>
    <row r="138">
      <c r="F138" s="76"/>
      <c r="G138" s="76"/>
      <c r="H138" s="76"/>
      <c r="I138" s="76"/>
      <c r="J138" s="76"/>
    </row>
    <row r="139">
      <c r="F139" s="76"/>
      <c r="G139" s="76"/>
      <c r="H139" s="76"/>
      <c r="I139" s="76"/>
      <c r="J139" s="76"/>
    </row>
    <row r="140">
      <c r="F140" s="76"/>
      <c r="G140" s="76"/>
      <c r="H140" s="76"/>
      <c r="I140" s="76"/>
      <c r="J140" s="76"/>
    </row>
    <row r="141">
      <c r="F141" s="76"/>
      <c r="G141" s="76"/>
      <c r="H141" s="76"/>
      <c r="I141" s="76"/>
      <c r="J141" s="76"/>
    </row>
    <row r="142">
      <c r="F142" s="76"/>
      <c r="G142" s="76"/>
      <c r="H142" s="76"/>
      <c r="I142" s="76"/>
      <c r="J142" s="76"/>
    </row>
    <row r="143">
      <c r="F143" s="76"/>
      <c r="G143" s="76"/>
      <c r="H143" s="76"/>
      <c r="I143" s="76"/>
      <c r="J143" s="76"/>
    </row>
    <row r="144">
      <c r="F144" s="76"/>
      <c r="G144" s="76"/>
      <c r="H144" s="76"/>
      <c r="I144" s="76"/>
      <c r="J144" s="76"/>
    </row>
    <row r="145">
      <c r="F145" s="76"/>
      <c r="G145" s="76"/>
      <c r="H145" s="76"/>
      <c r="I145" s="76"/>
      <c r="J145" s="76"/>
    </row>
    <row r="146">
      <c r="F146" s="76"/>
      <c r="G146" s="76"/>
      <c r="H146" s="76"/>
      <c r="I146" s="76"/>
      <c r="J146" s="76"/>
    </row>
    <row r="147">
      <c r="F147" s="76"/>
      <c r="G147" s="76"/>
      <c r="H147" s="76"/>
      <c r="I147" s="76"/>
      <c r="J147" s="76"/>
    </row>
    <row r="148">
      <c r="F148" s="76"/>
      <c r="G148" s="76"/>
      <c r="H148" s="76"/>
      <c r="I148" s="76"/>
      <c r="J148" s="76"/>
    </row>
    <row r="149">
      <c r="F149" s="76"/>
      <c r="G149" s="76"/>
      <c r="H149" s="76"/>
      <c r="I149" s="76"/>
      <c r="J149" s="76"/>
    </row>
    <row r="150">
      <c r="F150" s="76"/>
      <c r="G150" s="76"/>
      <c r="H150" s="76"/>
      <c r="I150" s="76"/>
      <c r="J150" s="76"/>
    </row>
    <row r="151">
      <c r="F151" s="76"/>
      <c r="G151" s="76"/>
      <c r="H151" s="76"/>
      <c r="I151" s="76"/>
      <c r="J151" s="76"/>
    </row>
    <row r="152">
      <c r="F152" s="76"/>
      <c r="G152" s="76"/>
      <c r="H152" s="76"/>
      <c r="I152" s="76"/>
      <c r="J152" s="76"/>
    </row>
    <row r="153">
      <c r="F153" s="76"/>
      <c r="G153" s="76"/>
      <c r="H153" s="76"/>
      <c r="I153" s="76"/>
      <c r="J153" s="76"/>
    </row>
    <row r="154">
      <c r="F154" s="76"/>
      <c r="G154" s="76"/>
      <c r="H154" s="76"/>
      <c r="I154" s="76"/>
      <c r="J154" s="76"/>
    </row>
    <row r="155">
      <c r="F155" s="76"/>
      <c r="G155" s="76"/>
      <c r="H155" s="76"/>
      <c r="I155" s="76"/>
      <c r="J155" s="76"/>
    </row>
    <row r="156">
      <c r="F156" s="76"/>
      <c r="G156" s="76"/>
      <c r="H156" s="76"/>
      <c r="I156" s="76"/>
      <c r="J156" s="76"/>
    </row>
    <row r="157">
      <c r="F157" s="76"/>
      <c r="G157" s="76"/>
      <c r="H157" s="76"/>
      <c r="I157" s="76"/>
      <c r="J157" s="76"/>
    </row>
    <row r="158">
      <c r="F158" s="76"/>
      <c r="G158" s="76"/>
      <c r="H158" s="76"/>
      <c r="I158" s="76"/>
      <c r="J158" s="76"/>
    </row>
    <row r="159">
      <c r="F159" s="76"/>
      <c r="G159" s="76"/>
      <c r="H159" s="76"/>
      <c r="I159" s="76"/>
      <c r="J159" s="76"/>
    </row>
    <row r="160">
      <c r="F160" s="76"/>
      <c r="G160" s="76"/>
      <c r="H160" s="76"/>
      <c r="I160" s="76"/>
      <c r="J160" s="76"/>
    </row>
    <row r="161">
      <c r="F161" s="76"/>
      <c r="G161" s="76"/>
      <c r="H161" s="76"/>
      <c r="I161" s="76"/>
      <c r="J161" s="76"/>
    </row>
    <row r="162">
      <c r="F162" s="76"/>
      <c r="G162" s="76"/>
      <c r="H162" s="76"/>
      <c r="I162" s="76"/>
      <c r="J162" s="76"/>
    </row>
    <row r="163">
      <c r="F163" s="76"/>
      <c r="G163" s="76"/>
      <c r="H163" s="76"/>
      <c r="I163" s="76"/>
      <c r="J163" s="76"/>
    </row>
    <row r="164">
      <c r="F164" s="24"/>
      <c r="H164" s="24"/>
      <c r="I164" s="24"/>
      <c r="J164" s="24"/>
    </row>
    <row r="165">
      <c r="F165" s="24"/>
      <c r="H165" s="24"/>
      <c r="I165" s="24"/>
      <c r="J165" s="24"/>
    </row>
    <row r="166">
      <c r="F166" s="24"/>
      <c r="H166" s="24"/>
      <c r="I166" s="24"/>
      <c r="J166" s="24"/>
    </row>
    <row r="167">
      <c r="F167" s="24"/>
      <c r="H167" s="24"/>
      <c r="I167" s="24"/>
      <c r="J167" s="24"/>
    </row>
    <row r="168">
      <c r="F168" s="24"/>
      <c r="H168" s="24"/>
      <c r="I168" s="24"/>
      <c r="J168" s="24"/>
    </row>
    <row r="169">
      <c r="F169" s="24"/>
      <c r="H169" s="24"/>
      <c r="I169" s="24"/>
      <c r="J169" s="24"/>
    </row>
    <row r="170">
      <c r="F170" s="24"/>
      <c r="H170" s="24"/>
      <c r="I170" s="24"/>
      <c r="J170" s="24"/>
    </row>
    <row r="171">
      <c r="F171" s="24"/>
      <c r="H171" s="24"/>
      <c r="I171" s="24"/>
      <c r="J171" s="24"/>
    </row>
    <row r="172">
      <c r="F172" s="24"/>
      <c r="H172" s="24"/>
      <c r="I172" s="24"/>
      <c r="J172" s="24"/>
    </row>
    <row r="173">
      <c r="F173" s="24"/>
      <c r="H173" s="24"/>
      <c r="I173" s="24"/>
      <c r="J173" s="24"/>
    </row>
    <row r="174">
      <c r="F174" s="24"/>
      <c r="H174" s="24"/>
      <c r="I174" s="24"/>
      <c r="J174" s="24"/>
    </row>
    <row r="175">
      <c r="F175" s="24"/>
      <c r="H175" s="24"/>
      <c r="I175" s="24"/>
      <c r="J175" s="24"/>
    </row>
    <row r="176">
      <c r="F176" s="24"/>
      <c r="H176" s="24"/>
      <c r="I176" s="24"/>
      <c r="J176" s="24"/>
    </row>
    <row r="177">
      <c r="F177" s="24"/>
      <c r="H177" s="24"/>
      <c r="I177" s="24"/>
      <c r="J177" s="24"/>
    </row>
    <row r="178">
      <c r="F178" s="24"/>
      <c r="H178" s="24"/>
      <c r="I178" s="24"/>
      <c r="J178" s="24"/>
    </row>
    <row r="179">
      <c r="F179" s="24"/>
      <c r="H179" s="24"/>
      <c r="I179" s="24"/>
      <c r="J179" s="24"/>
    </row>
    <row r="180">
      <c r="F180" s="24"/>
      <c r="H180" s="24"/>
      <c r="I180" s="24"/>
      <c r="J180" s="24"/>
    </row>
    <row r="181">
      <c r="F181" s="24"/>
      <c r="H181" s="24"/>
      <c r="I181" s="24"/>
      <c r="J181" s="24"/>
    </row>
    <row r="182">
      <c r="F182" s="24"/>
      <c r="H182" s="24"/>
      <c r="I182" s="24"/>
      <c r="J182" s="24"/>
    </row>
    <row r="183">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row r="988">
      <c r="C988" s="24"/>
      <c r="F988" s="24"/>
      <c r="H988" s="24"/>
      <c r="I988" s="24"/>
      <c r="J988" s="24"/>
    </row>
    <row r="989">
      <c r="C989" s="24"/>
      <c r="F989" s="24"/>
      <c r="H989" s="24"/>
      <c r="I989" s="24"/>
      <c r="J989" s="24"/>
    </row>
    <row r="990">
      <c r="C990" s="24"/>
      <c r="F990" s="24"/>
      <c r="H990" s="24"/>
      <c r="I990" s="24"/>
      <c r="J990" s="24"/>
    </row>
    <row r="991">
      <c r="C991" s="24"/>
      <c r="F991" s="24"/>
      <c r="H991" s="24"/>
      <c r="I991" s="24"/>
      <c r="J991" s="24"/>
    </row>
    <row r="992">
      <c r="C992" s="24"/>
      <c r="F992" s="24"/>
      <c r="H992" s="24"/>
      <c r="I992" s="24"/>
      <c r="J992" s="24"/>
    </row>
    <row r="993">
      <c r="C993" s="24"/>
      <c r="F993" s="24"/>
      <c r="H993" s="24"/>
      <c r="I993" s="24"/>
      <c r="J993" s="24"/>
    </row>
    <row r="994">
      <c r="C994" s="24"/>
      <c r="F994" s="24"/>
      <c r="H994" s="24"/>
      <c r="I994" s="24"/>
      <c r="J994" s="24"/>
    </row>
    <row r="995">
      <c r="C995" s="24"/>
      <c r="F995" s="24"/>
      <c r="H995" s="24"/>
      <c r="I995" s="24"/>
      <c r="J995" s="24"/>
    </row>
    <row r="996">
      <c r="C996" s="24"/>
      <c r="F996" s="24"/>
      <c r="H996" s="24"/>
      <c r="I996" s="24"/>
      <c r="J996" s="24"/>
    </row>
    <row r="997">
      <c r="C997" s="24"/>
      <c r="F997" s="24"/>
      <c r="H997" s="24"/>
      <c r="I997" s="24"/>
      <c r="J997" s="24"/>
    </row>
    <row r="998">
      <c r="C998" s="24"/>
      <c r="F998" s="24"/>
      <c r="H998" s="24"/>
      <c r="I998" s="24"/>
      <c r="J998" s="24"/>
    </row>
  </sheetData>
  <mergeCells count="1">
    <mergeCell ref="P1:Q1"/>
  </mergeCells>
  <conditionalFormatting sqref="H1:H13 H164:H998">
    <cfRule type="cellIs" dxfId="0" priority="1" operator="equal">
      <formula>"Y"</formula>
    </cfRule>
  </conditionalFormatting>
  <conditionalFormatting sqref="H1:H13 H164:H998">
    <cfRule type="containsText" dxfId="1" priority="2" operator="containsText" text="N">
      <formula>NOT(ISERROR(SEARCH(("N"),(H1))))</formula>
    </cfRule>
  </conditionalFormatting>
  <dataValidations>
    <dataValidation type="list" allowBlank="1" sqref="C7:C11 I7:I11 C184:C998 I164:I998">
      <formula1>"P1,P2,P3,P4,P5"</formula1>
    </dataValidation>
    <dataValidation type="list" allowBlank="1" sqref="F7:F11 J7:J11 F164:F998 J164:J998">
      <formula1>BaseData!$A$2:$A$53</formula1>
    </dataValidation>
    <dataValidation type="list" allowBlank="1" sqref="H7:H11 H164:H998">
      <formula1>"Y,N"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42.25"/>
    <col customWidth="1" min="3" max="3" width="7.25"/>
    <col customWidth="1" min="4" max="4" width="25.13"/>
    <col customWidth="1" min="5" max="5" width="9.13"/>
    <col customWidth="1" min="6" max="7" width="18.63"/>
    <col customWidth="1" min="8" max="8" width="11.0"/>
    <col customWidth="1" min="9" max="9" width="9.75"/>
    <col customWidth="1" min="10" max="10" width="18.0"/>
    <col customWidth="1" min="11" max="11" width="10.88"/>
    <col customWidth="1" min="12" max="12" width="38.63"/>
    <col customWidth="1" hidden="1" min="13" max="13" width="17.13"/>
    <col customWidth="1" hidden="1" min="14" max="14" width="15.88"/>
    <col customWidth="1" hidden="1" min="15" max="15" width="28.75"/>
    <col customWidth="1" hidden="1" min="16" max="18" width="24.88"/>
    <col customWidth="1" hidden="1" min="19" max="19" width="19.0"/>
    <col customWidth="1" hidden="1" min="20" max="20" width="23.25"/>
  </cols>
  <sheetData>
    <row r="1">
      <c r="A1" s="8" t="s">
        <v>507</v>
      </c>
      <c r="J1" s="8"/>
      <c r="O1" s="105"/>
      <c r="P1" s="105"/>
      <c r="Q1" s="9" t="s">
        <v>36</v>
      </c>
      <c r="R1" s="106"/>
      <c r="S1" s="10" t="s">
        <v>37</v>
      </c>
      <c r="T1" s="11"/>
    </row>
    <row r="2">
      <c r="A2" s="8"/>
      <c r="B2" s="8"/>
      <c r="E2" s="8"/>
      <c r="F2" s="12" t="s">
        <v>25</v>
      </c>
      <c r="G2" s="1">
        <f>countifs(A:A,"&lt;&gt;NEW",A:A,"&lt;&gt;")-1</f>
        <v>35</v>
      </c>
      <c r="I2" s="8"/>
      <c r="J2" s="8"/>
      <c r="O2" s="44"/>
      <c r="P2" s="44"/>
      <c r="Q2" s="13" t="s">
        <v>653</v>
      </c>
      <c r="R2" s="13"/>
      <c r="S2" s="14" t="s">
        <v>654</v>
      </c>
      <c r="T2" s="15" t="s">
        <v>655</v>
      </c>
    </row>
    <row r="3">
      <c r="A3" s="8"/>
      <c r="B3" s="8"/>
      <c r="D3" s="16"/>
      <c r="E3" s="8"/>
      <c r="F3" s="17" t="s">
        <v>41</v>
      </c>
      <c r="G3" s="18">
        <f>countif(H:H,"=Y")</f>
        <v>34</v>
      </c>
      <c r="H3" s="8"/>
      <c r="I3" s="8"/>
      <c r="J3" s="8"/>
      <c r="O3" s="44"/>
      <c r="P3" s="44"/>
      <c r="Q3" s="13" t="s">
        <v>656</v>
      </c>
      <c r="R3" s="13"/>
      <c r="S3" s="14"/>
      <c r="T3" s="15"/>
    </row>
    <row r="4">
      <c r="A4" s="8"/>
      <c r="B4" s="8"/>
      <c r="E4" s="8"/>
      <c r="F4" s="17" t="s">
        <v>45</v>
      </c>
      <c r="G4" s="18">
        <f>COUNTIF(A:A,"=NEW")</f>
        <v>0</v>
      </c>
      <c r="H4" s="8"/>
      <c r="I4" s="8"/>
      <c r="J4" s="8"/>
      <c r="O4" s="44"/>
      <c r="P4" s="44"/>
      <c r="Q4" s="13" t="s">
        <v>657</v>
      </c>
      <c r="R4" s="13"/>
      <c r="S4" s="14"/>
      <c r="T4" s="15"/>
    </row>
    <row r="5">
      <c r="A5" s="8"/>
      <c r="B5" s="8"/>
      <c r="C5" s="8"/>
      <c r="D5" s="8"/>
      <c r="E5" s="8"/>
      <c r="F5" s="8"/>
      <c r="G5" s="8"/>
      <c r="H5" s="8"/>
      <c r="I5" s="8"/>
      <c r="J5" s="8"/>
      <c r="O5" s="44"/>
      <c r="P5" s="44"/>
      <c r="Q5" s="13"/>
      <c r="R5" s="13"/>
      <c r="S5" s="14"/>
      <c r="T5" s="15"/>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658</v>
      </c>
      <c r="O6" s="107" t="s">
        <v>659</v>
      </c>
      <c r="P6" s="44"/>
      <c r="Q6" s="13"/>
      <c r="R6" s="13"/>
      <c r="S6" s="14"/>
      <c r="T6" s="15"/>
    </row>
    <row r="7">
      <c r="A7" s="19" t="s">
        <v>660</v>
      </c>
      <c r="B7" s="19" t="s">
        <v>661</v>
      </c>
      <c r="C7" s="19" t="s">
        <v>135</v>
      </c>
      <c r="D7" s="19" t="s">
        <v>662</v>
      </c>
      <c r="E7" s="19" t="s">
        <v>663</v>
      </c>
      <c r="F7" s="19" t="s">
        <v>664</v>
      </c>
      <c r="G7" s="19" t="s">
        <v>235</v>
      </c>
      <c r="H7" s="19" t="s">
        <v>143</v>
      </c>
      <c r="I7" s="19" t="s">
        <v>135</v>
      </c>
      <c r="J7" s="19" t="s">
        <v>665</v>
      </c>
      <c r="K7" s="25" t="str">
        <f>HYPERLINK("https://maxxton.atlassian.net/browse/QA-29060","QA-29060")</f>
        <v>QA-29060</v>
      </c>
      <c r="L7" s="19" t="s">
        <v>514</v>
      </c>
      <c r="M7" s="8" t="s">
        <v>225</v>
      </c>
      <c r="N7" s="8" t="s">
        <v>225</v>
      </c>
      <c r="O7" s="44"/>
      <c r="P7" s="44"/>
      <c r="Q7" s="14"/>
      <c r="R7" s="44"/>
      <c r="S7" s="20"/>
      <c r="T7" s="20"/>
    </row>
    <row r="8">
      <c r="A8" s="19" t="s">
        <v>666</v>
      </c>
      <c r="B8" s="19" t="s">
        <v>667</v>
      </c>
      <c r="C8" s="19" t="s">
        <v>135</v>
      </c>
      <c r="D8" s="19" t="s">
        <v>668</v>
      </c>
      <c r="E8" s="19" t="s">
        <v>663</v>
      </c>
      <c r="F8" s="19" t="s">
        <v>665</v>
      </c>
      <c r="G8" s="19" t="s">
        <v>199</v>
      </c>
      <c r="H8" s="19" t="s">
        <v>143</v>
      </c>
      <c r="I8" s="19" t="s">
        <v>135</v>
      </c>
      <c r="J8" s="19" t="s">
        <v>665</v>
      </c>
      <c r="K8" s="25" t="str">
        <f>HYPERLINK("https://maxxton.atlassian.net/browse/QA-29061","QA-29061")</f>
        <v>QA-29061</v>
      </c>
      <c r="L8" s="19" t="s">
        <v>514</v>
      </c>
      <c r="M8" s="8" t="s">
        <v>225</v>
      </c>
      <c r="N8" s="8" t="s">
        <v>172</v>
      </c>
      <c r="O8" s="44"/>
      <c r="P8" s="44"/>
      <c r="Q8" s="14"/>
      <c r="R8" s="44"/>
      <c r="S8" s="20"/>
      <c r="T8" s="20"/>
    </row>
    <row r="9">
      <c r="A9" s="19" t="s">
        <v>669</v>
      </c>
      <c r="B9" s="19" t="s">
        <v>670</v>
      </c>
      <c r="C9" s="19" t="s">
        <v>135</v>
      </c>
      <c r="D9" s="19" t="s">
        <v>668</v>
      </c>
      <c r="E9" s="19" t="s">
        <v>663</v>
      </c>
      <c r="F9" s="19" t="s">
        <v>665</v>
      </c>
      <c r="G9" s="19" t="s">
        <v>136</v>
      </c>
      <c r="H9" s="19" t="s">
        <v>143</v>
      </c>
      <c r="I9" s="19" t="s">
        <v>135</v>
      </c>
      <c r="J9" s="19" t="s">
        <v>665</v>
      </c>
      <c r="K9" s="25" t="str">
        <f>HYPERLINK("https://maxxton.atlassian.net/browse/QA-29062","QA-29062")</f>
        <v>QA-29062</v>
      </c>
      <c r="L9" s="19" t="s">
        <v>514</v>
      </c>
      <c r="M9" s="8" t="s">
        <v>172</v>
      </c>
      <c r="N9" s="8" t="s">
        <v>172</v>
      </c>
      <c r="O9" s="44"/>
      <c r="P9" s="44"/>
      <c r="Q9" s="14"/>
      <c r="R9" s="44"/>
      <c r="S9" s="20"/>
      <c r="T9" s="20"/>
    </row>
    <row r="10">
      <c r="A10" s="19" t="s">
        <v>671</v>
      </c>
      <c r="B10" s="19" t="s">
        <v>672</v>
      </c>
      <c r="C10" s="19" t="s">
        <v>169</v>
      </c>
      <c r="D10" s="19" t="s">
        <v>673</v>
      </c>
      <c r="E10" s="19" t="s">
        <v>663</v>
      </c>
      <c r="F10" s="19" t="s">
        <v>665</v>
      </c>
      <c r="G10" s="19" t="s">
        <v>674</v>
      </c>
      <c r="H10" s="19" t="s">
        <v>143</v>
      </c>
      <c r="I10" s="19" t="s">
        <v>169</v>
      </c>
      <c r="J10" s="19" t="s">
        <v>665</v>
      </c>
      <c r="K10" s="25" t="str">
        <f>HYPERLINK("https://maxxton.atlassian.net/browse/QA-29063","QA-29063")</f>
        <v>QA-29063</v>
      </c>
      <c r="L10" s="19" t="s">
        <v>514</v>
      </c>
      <c r="M10" s="8" t="s">
        <v>483</v>
      </c>
      <c r="N10" s="8" t="s">
        <v>483</v>
      </c>
      <c r="O10" s="44"/>
      <c r="P10" s="44"/>
      <c r="Q10" s="14"/>
      <c r="R10" s="44"/>
      <c r="S10" s="20"/>
      <c r="T10" s="20"/>
    </row>
    <row r="11">
      <c r="A11" s="19" t="s">
        <v>675</v>
      </c>
      <c r="B11" s="19" t="s">
        <v>676</v>
      </c>
      <c r="C11" s="19" t="s">
        <v>169</v>
      </c>
      <c r="D11" s="19" t="s">
        <v>673</v>
      </c>
      <c r="E11" s="19" t="s">
        <v>663</v>
      </c>
      <c r="F11" s="19" t="s">
        <v>665</v>
      </c>
      <c r="G11" s="19" t="s">
        <v>172</v>
      </c>
      <c r="H11" s="19" t="s">
        <v>143</v>
      </c>
      <c r="I11" s="19" t="s">
        <v>169</v>
      </c>
      <c r="J11" s="19" t="s">
        <v>665</v>
      </c>
      <c r="K11" s="25" t="str">
        <f>HYPERLINK("https://maxxton.atlassian.net/browse/QA-29064","QA-29064")</f>
        <v>QA-29064</v>
      </c>
      <c r="L11" s="19" t="s">
        <v>514</v>
      </c>
      <c r="M11" s="8" t="s">
        <v>172</v>
      </c>
      <c r="N11" s="8" t="s">
        <v>172</v>
      </c>
      <c r="O11" s="44" t="s">
        <v>677</v>
      </c>
      <c r="P11" s="44"/>
      <c r="Q11" s="14"/>
      <c r="R11" s="44"/>
      <c r="S11" s="20"/>
      <c r="T11" s="20"/>
    </row>
    <row r="12">
      <c r="A12" s="19" t="s">
        <v>678</v>
      </c>
      <c r="B12" s="19" t="s">
        <v>679</v>
      </c>
      <c r="C12" s="19" t="s">
        <v>169</v>
      </c>
      <c r="D12" s="19" t="s">
        <v>673</v>
      </c>
      <c r="E12" s="19" t="s">
        <v>663</v>
      </c>
      <c r="F12" s="19" t="s">
        <v>665</v>
      </c>
      <c r="G12" s="19" t="s">
        <v>431</v>
      </c>
      <c r="H12" s="19" t="s">
        <v>143</v>
      </c>
      <c r="I12" s="19" t="s">
        <v>169</v>
      </c>
      <c r="J12" s="19" t="s">
        <v>665</v>
      </c>
      <c r="K12" s="26" t="str">
        <f>HYPERLINK("https://maxxton.atlassian.net/browse/QA-29065","QA-29065")</f>
        <v>QA-29065</v>
      </c>
      <c r="L12" s="19" t="s">
        <v>514</v>
      </c>
      <c r="M12" s="8" t="s">
        <v>321</v>
      </c>
      <c r="N12" s="8" t="s">
        <v>321</v>
      </c>
      <c r="O12" s="44"/>
      <c r="P12" s="44"/>
      <c r="Q12" s="14"/>
      <c r="R12" s="44"/>
      <c r="S12" s="20"/>
      <c r="T12" s="20"/>
    </row>
    <row r="13">
      <c r="A13" s="19" t="s">
        <v>680</v>
      </c>
      <c r="B13" s="19" t="s">
        <v>681</v>
      </c>
      <c r="C13" s="19" t="s">
        <v>135</v>
      </c>
      <c r="D13" s="19" t="s">
        <v>673</v>
      </c>
      <c r="E13" s="19" t="s">
        <v>663</v>
      </c>
      <c r="F13" s="19" t="s">
        <v>665</v>
      </c>
      <c r="G13" s="19" t="s">
        <v>172</v>
      </c>
      <c r="H13" s="19" t="s">
        <v>143</v>
      </c>
      <c r="I13" s="19" t="s">
        <v>135</v>
      </c>
      <c r="J13" s="19" t="s">
        <v>665</v>
      </c>
      <c r="K13" s="26" t="str">
        <f>HYPERLINK("https://maxxton.atlassian.net/browse/QA-29066","QA-29066")</f>
        <v>QA-29066</v>
      </c>
      <c r="L13" s="19" t="s">
        <v>514</v>
      </c>
      <c r="M13" s="8" t="s">
        <v>172</v>
      </c>
      <c r="N13" s="8" t="s">
        <v>172</v>
      </c>
      <c r="O13" s="44"/>
      <c r="P13" s="44"/>
      <c r="Q13" s="14"/>
      <c r="R13" s="44"/>
      <c r="S13" s="20"/>
      <c r="T13" s="20"/>
    </row>
    <row r="14">
      <c r="A14" s="19" t="s">
        <v>682</v>
      </c>
      <c r="B14" s="19" t="s">
        <v>683</v>
      </c>
      <c r="C14" s="19" t="s">
        <v>169</v>
      </c>
      <c r="D14" s="19" t="s">
        <v>684</v>
      </c>
      <c r="E14" s="19" t="s">
        <v>663</v>
      </c>
      <c r="F14" s="19" t="s">
        <v>665</v>
      </c>
      <c r="G14" s="19" t="s">
        <v>179</v>
      </c>
      <c r="H14" s="19" t="s">
        <v>143</v>
      </c>
      <c r="I14" s="19" t="s">
        <v>169</v>
      </c>
      <c r="J14" s="19" t="s">
        <v>665</v>
      </c>
      <c r="K14" s="26" t="str">
        <f>HYPERLINK("https://maxxton.atlassian.net/browse/QA-29067","QA-29067")</f>
        <v>QA-29067</v>
      </c>
      <c r="L14" s="19" t="s">
        <v>514</v>
      </c>
      <c r="M14" s="8" t="s">
        <v>179</v>
      </c>
      <c r="N14" s="8" t="s">
        <v>179</v>
      </c>
      <c r="O14" s="44"/>
      <c r="P14" s="44"/>
      <c r="Q14" s="14"/>
      <c r="R14" s="44"/>
      <c r="S14" s="20"/>
      <c r="T14" s="20"/>
    </row>
    <row r="15">
      <c r="A15" s="19" t="s">
        <v>685</v>
      </c>
      <c r="B15" s="19" t="s">
        <v>686</v>
      </c>
      <c r="C15" s="19" t="s">
        <v>135</v>
      </c>
      <c r="D15" s="19" t="s">
        <v>687</v>
      </c>
      <c r="E15" s="19" t="s">
        <v>663</v>
      </c>
      <c r="F15" s="19" t="s">
        <v>665</v>
      </c>
      <c r="G15" s="19" t="s">
        <v>241</v>
      </c>
      <c r="H15" s="19" t="s">
        <v>143</v>
      </c>
      <c r="I15" s="19" t="s">
        <v>135</v>
      </c>
      <c r="J15" s="19" t="s">
        <v>665</v>
      </c>
      <c r="K15" s="26" t="str">
        <f>HYPERLINK("https://maxxton.atlassian.net/browse/QA-29068","QA-29068")</f>
        <v>QA-29068</v>
      </c>
      <c r="L15" s="19" t="s">
        <v>514</v>
      </c>
      <c r="M15" s="8" t="s">
        <v>172</v>
      </c>
      <c r="N15" s="8" t="s">
        <v>518</v>
      </c>
      <c r="O15" s="44"/>
      <c r="P15" s="44"/>
      <c r="Q15" s="14"/>
      <c r="R15" s="44"/>
      <c r="S15" s="20"/>
      <c r="T15" s="20"/>
    </row>
    <row r="16">
      <c r="A16" s="19" t="s">
        <v>688</v>
      </c>
      <c r="B16" s="19" t="s">
        <v>689</v>
      </c>
      <c r="C16" s="19" t="s">
        <v>95</v>
      </c>
      <c r="D16" s="19" t="s">
        <v>690</v>
      </c>
      <c r="E16" s="19" t="s">
        <v>663</v>
      </c>
      <c r="F16" s="19" t="s">
        <v>665</v>
      </c>
      <c r="G16" s="19" t="s">
        <v>518</v>
      </c>
      <c r="H16" s="19" t="s">
        <v>143</v>
      </c>
      <c r="I16" s="19" t="s">
        <v>95</v>
      </c>
      <c r="J16" s="19" t="s">
        <v>665</v>
      </c>
      <c r="K16" s="26" t="str">
        <f>HYPERLINK("https://maxxton.atlassian.net/browse/QA-29069","QA-29069")</f>
        <v>QA-29069</v>
      </c>
      <c r="L16" s="19" t="s">
        <v>514</v>
      </c>
      <c r="M16" s="8" t="s">
        <v>518</v>
      </c>
      <c r="N16" s="8" t="s">
        <v>518</v>
      </c>
      <c r="O16" s="44"/>
      <c r="P16" s="44"/>
      <c r="Q16" s="14"/>
      <c r="R16" s="44"/>
      <c r="S16" s="20"/>
      <c r="T16" s="20"/>
    </row>
    <row r="17">
      <c r="A17" s="19" t="s">
        <v>691</v>
      </c>
      <c r="B17" s="19" t="s">
        <v>692</v>
      </c>
      <c r="C17" s="19" t="s">
        <v>169</v>
      </c>
      <c r="D17" s="19" t="s">
        <v>693</v>
      </c>
      <c r="E17" s="19" t="s">
        <v>663</v>
      </c>
      <c r="F17" s="19" t="s">
        <v>665</v>
      </c>
      <c r="G17" s="19" t="s">
        <v>312</v>
      </c>
      <c r="H17" s="19" t="s">
        <v>143</v>
      </c>
      <c r="I17" s="19" t="s">
        <v>169</v>
      </c>
      <c r="J17" s="19" t="s">
        <v>665</v>
      </c>
      <c r="K17" s="26" t="str">
        <f>HYPERLINK("https://maxxton.atlassian.net/browse/QA-29070","QA-29070")</f>
        <v>QA-29070</v>
      </c>
      <c r="L17" s="19" t="s">
        <v>514</v>
      </c>
      <c r="M17" s="8" t="s">
        <v>187</v>
      </c>
      <c r="N17" s="8" t="s">
        <v>187</v>
      </c>
      <c r="O17" s="44"/>
      <c r="P17" s="44"/>
      <c r="Q17" s="14"/>
      <c r="R17" s="44"/>
      <c r="S17" s="20"/>
      <c r="T17" s="20"/>
    </row>
    <row r="18">
      <c r="A18" s="19" t="s">
        <v>694</v>
      </c>
      <c r="B18" s="19" t="s">
        <v>695</v>
      </c>
      <c r="C18" s="19" t="s">
        <v>135</v>
      </c>
      <c r="D18" s="19" t="s">
        <v>693</v>
      </c>
      <c r="E18" s="19" t="s">
        <v>663</v>
      </c>
      <c r="F18" s="19" t="s">
        <v>665</v>
      </c>
      <c r="G18" s="19" t="s">
        <v>172</v>
      </c>
      <c r="H18" s="19" t="s">
        <v>143</v>
      </c>
      <c r="I18" s="19" t="s">
        <v>135</v>
      </c>
      <c r="J18" s="19" t="s">
        <v>665</v>
      </c>
      <c r="K18" s="26" t="str">
        <f>HYPERLINK("https://maxxton.atlassian.net/browse/QA-29071","QA-29071")</f>
        <v>QA-29071</v>
      </c>
      <c r="L18" s="19" t="s">
        <v>514</v>
      </c>
      <c r="M18" s="8" t="s">
        <v>172</v>
      </c>
      <c r="N18" s="8" t="s">
        <v>172</v>
      </c>
      <c r="O18" s="44"/>
      <c r="P18" s="44"/>
      <c r="Q18" s="14"/>
      <c r="R18" s="44"/>
      <c r="S18" s="20"/>
      <c r="T18" s="20"/>
    </row>
    <row r="19">
      <c r="A19" s="19" t="s">
        <v>696</v>
      </c>
      <c r="B19" s="19" t="s">
        <v>697</v>
      </c>
      <c r="C19" s="19" t="s">
        <v>135</v>
      </c>
      <c r="D19" s="19" t="s">
        <v>698</v>
      </c>
      <c r="E19" s="19" t="s">
        <v>663</v>
      </c>
      <c r="F19" s="19" t="s">
        <v>665</v>
      </c>
      <c r="G19" s="19" t="s">
        <v>172</v>
      </c>
      <c r="H19" s="19" t="s">
        <v>143</v>
      </c>
      <c r="I19" s="19" t="s">
        <v>135</v>
      </c>
      <c r="J19" s="19" t="s">
        <v>665</v>
      </c>
      <c r="K19" s="26" t="str">
        <f>HYPERLINK("https://maxxton.atlassian.net/browse/QA-29072","QA-29072")</f>
        <v>QA-29072</v>
      </c>
      <c r="L19" s="19" t="s">
        <v>514</v>
      </c>
      <c r="M19" s="8" t="s">
        <v>235</v>
      </c>
      <c r="N19" s="8" t="s">
        <v>518</v>
      </c>
      <c r="O19" s="44"/>
      <c r="P19" s="44"/>
      <c r="Q19" s="14"/>
      <c r="R19" s="44"/>
      <c r="S19" s="20"/>
      <c r="T19" s="20"/>
    </row>
    <row r="20">
      <c r="A20" s="19" t="s">
        <v>699</v>
      </c>
      <c r="B20" s="19" t="s">
        <v>700</v>
      </c>
      <c r="C20" s="19" t="s">
        <v>169</v>
      </c>
      <c r="D20" s="19" t="s">
        <v>701</v>
      </c>
      <c r="E20" s="19" t="s">
        <v>663</v>
      </c>
      <c r="F20" s="19" t="s">
        <v>665</v>
      </c>
      <c r="G20" s="19" t="s">
        <v>235</v>
      </c>
      <c r="H20" s="19" t="s">
        <v>143</v>
      </c>
      <c r="I20" s="19" t="s">
        <v>169</v>
      </c>
      <c r="J20" s="19" t="s">
        <v>665</v>
      </c>
      <c r="K20" s="26" t="str">
        <f>HYPERLINK("https://maxxton.atlassian.net/browse/QA-29073","QA-29073")</f>
        <v>QA-29073</v>
      </c>
      <c r="L20" s="19" t="s">
        <v>514</v>
      </c>
      <c r="M20" s="8" t="s">
        <v>199</v>
      </c>
      <c r="N20" s="8" t="s">
        <v>199</v>
      </c>
      <c r="O20" s="44"/>
      <c r="P20" s="44"/>
      <c r="Q20" s="14"/>
      <c r="R20" s="44"/>
      <c r="S20" s="20"/>
      <c r="T20" s="20"/>
    </row>
    <row r="21">
      <c r="A21" s="19" t="s">
        <v>702</v>
      </c>
      <c r="B21" s="19" t="s">
        <v>703</v>
      </c>
      <c r="C21" s="19" t="s">
        <v>169</v>
      </c>
      <c r="D21" s="19" t="s">
        <v>704</v>
      </c>
      <c r="E21" s="19" t="s">
        <v>663</v>
      </c>
      <c r="F21" s="19" t="s">
        <v>665</v>
      </c>
      <c r="G21" s="19" t="s">
        <v>179</v>
      </c>
      <c r="H21" s="19" t="s">
        <v>143</v>
      </c>
      <c r="I21" s="19" t="s">
        <v>169</v>
      </c>
      <c r="J21" s="19" t="s">
        <v>665</v>
      </c>
      <c r="K21" s="26" t="str">
        <f>HYPERLINK("https://maxxton.atlassian.net/browse/QA-29074","QA-29074")</f>
        <v>QA-29074</v>
      </c>
      <c r="L21" s="19" t="s">
        <v>514</v>
      </c>
      <c r="M21" s="8" t="s">
        <v>674</v>
      </c>
      <c r="N21" s="8" t="s">
        <v>199</v>
      </c>
      <c r="O21" s="44" t="s">
        <v>705</v>
      </c>
      <c r="P21" s="44"/>
      <c r="Q21" s="14"/>
      <c r="R21" s="44"/>
      <c r="S21" s="20"/>
      <c r="T21" s="20"/>
    </row>
    <row r="22">
      <c r="A22" s="19" t="s">
        <v>706</v>
      </c>
      <c r="B22" s="19" t="s">
        <v>707</v>
      </c>
      <c r="C22" s="19" t="s">
        <v>169</v>
      </c>
      <c r="D22" s="19" t="s">
        <v>89</v>
      </c>
      <c r="E22" s="19" t="s">
        <v>708</v>
      </c>
      <c r="F22" s="19" t="s">
        <v>709</v>
      </c>
      <c r="G22" s="19" t="s">
        <v>187</v>
      </c>
      <c r="H22" s="19" t="s">
        <v>143</v>
      </c>
      <c r="I22" s="19" t="s">
        <v>169</v>
      </c>
      <c r="J22" s="19" t="s">
        <v>709</v>
      </c>
      <c r="K22" s="26" t="str">
        <f>HYPERLINK("https://maxxton.atlassian.net/browse/QA-29075","QA-29075")</f>
        <v>QA-29075</v>
      </c>
      <c r="L22" s="19" t="s">
        <v>514</v>
      </c>
      <c r="M22" s="8" t="s">
        <v>650</v>
      </c>
      <c r="N22" s="8" t="s">
        <v>650</v>
      </c>
      <c r="O22" s="44" t="s">
        <v>710</v>
      </c>
      <c r="P22" s="44"/>
      <c r="Q22" s="14"/>
      <c r="R22" s="44"/>
      <c r="S22" s="20"/>
      <c r="T22" s="20"/>
    </row>
    <row r="23">
      <c r="A23" s="25" t="str">
        <f>HYPERLINK("https://maxxton.atlassian.net/browse/QA-10185","QA-10185")</f>
        <v>QA-10185</v>
      </c>
      <c r="B23" s="19" t="s">
        <v>711</v>
      </c>
      <c r="C23" s="19" t="s">
        <v>169</v>
      </c>
      <c r="D23" s="19" t="s">
        <v>89</v>
      </c>
      <c r="E23" s="19" t="s">
        <v>708</v>
      </c>
      <c r="F23" s="19" t="s">
        <v>712</v>
      </c>
      <c r="G23" s="19" t="s">
        <v>231</v>
      </c>
      <c r="H23" s="19" t="s">
        <v>143</v>
      </c>
      <c r="I23" s="19" t="s">
        <v>95</v>
      </c>
      <c r="J23" s="19" t="s">
        <v>712</v>
      </c>
      <c r="K23" s="26" t="str">
        <f>HYPERLINK("https://maxxton.atlassian.net/browse/QA-29076","QA-29076")</f>
        <v>QA-29076</v>
      </c>
      <c r="L23" s="19" t="s">
        <v>514</v>
      </c>
      <c r="O23" s="44"/>
      <c r="P23" s="44"/>
      <c r="Q23" s="14"/>
      <c r="R23" s="44"/>
      <c r="S23" s="20"/>
      <c r="T23" s="20"/>
    </row>
    <row r="24">
      <c r="A24" s="25" t="str">
        <f>HYPERLINK("https://maxxton.atlassian.net/browse/QA-12630","QA-12630")</f>
        <v>QA-12630</v>
      </c>
      <c r="B24" s="19" t="s">
        <v>713</v>
      </c>
      <c r="C24" s="19" t="s">
        <v>95</v>
      </c>
      <c r="D24" s="19" t="s">
        <v>89</v>
      </c>
      <c r="E24" s="19" t="s">
        <v>708</v>
      </c>
      <c r="F24" s="19" t="s">
        <v>712</v>
      </c>
      <c r="G24" s="19" t="s">
        <v>235</v>
      </c>
      <c r="H24" s="19" t="s">
        <v>143</v>
      </c>
      <c r="I24" s="19" t="s">
        <v>95</v>
      </c>
      <c r="J24" s="19" t="s">
        <v>712</v>
      </c>
      <c r="K24" s="26" t="str">
        <f>HYPERLINK("https://maxxton.atlassian.net/browse/QA-29077","QA-29077")</f>
        <v>QA-29077</v>
      </c>
      <c r="L24" s="19" t="s">
        <v>514</v>
      </c>
      <c r="M24" s="8" t="s">
        <v>199</v>
      </c>
      <c r="N24" s="8" t="s">
        <v>235</v>
      </c>
      <c r="O24" s="8" t="s">
        <v>714</v>
      </c>
      <c r="P24" s="8"/>
      <c r="Q24" s="8" t="s">
        <v>715</v>
      </c>
      <c r="R24" s="8"/>
    </row>
    <row r="25">
      <c r="A25" s="25" t="str">
        <f>HYPERLINK("https://maxxton.atlassian.net/browse/QA-12631","QA-12631")</f>
        <v>QA-12631</v>
      </c>
      <c r="B25" s="19" t="s">
        <v>716</v>
      </c>
      <c r="C25" s="19" t="s">
        <v>95</v>
      </c>
      <c r="D25" s="19" t="s">
        <v>89</v>
      </c>
      <c r="E25" s="19" t="s">
        <v>708</v>
      </c>
      <c r="F25" s="19" t="s">
        <v>712</v>
      </c>
      <c r="G25" s="19" t="s">
        <v>231</v>
      </c>
      <c r="H25" s="19" t="s">
        <v>143</v>
      </c>
      <c r="I25" s="19" t="s">
        <v>95</v>
      </c>
      <c r="J25" s="19" t="s">
        <v>712</v>
      </c>
      <c r="K25" s="26" t="str">
        <f>HYPERLINK("https://maxxton.atlassian.net/browse/QA-29078","QA-29078")</f>
        <v>QA-29078</v>
      </c>
      <c r="L25" s="19" t="s">
        <v>514</v>
      </c>
      <c r="M25" s="8" t="s">
        <v>187</v>
      </c>
      <c r="N25" s="8" t="s">
        <v>187</v>
      </c>
      <c r="O25" s="8" t="s">
        <v>717</v>
      </c>
      <c r="P25" s="8"/>
      <c r="Q25" s="8" t="s">
        <v>718</v>
      </c>
      <c r="R25" s="8"/>
    </row>
    <row r="26">
      <c r="A26" s="25" t="str">
        <f>HYPERLINK("https://maxxton.atlassian.net/browse/QA-12632","QA-12632")</f>
        <v>QA-12632</v>
      </c>
      <c r="B26" s="19" t="s">
        <v>719</v>
      </c>
      <c r="C26" s="19" t="s">
        <v>95</v>
      </c>
      <c r="D26" s="19" t="s">
        <v>89</v>
      </c>
      <c r="E26" s="19" t="s">
        <v>708</v>
      </c>
      <c r="F26" s="19" t="s">
        <v>720</v>
      </c>
      <c r="G26" s="19" t="s">
        <v>199</v>
      </c>
      <c r="H26" s="19" t="s">
        <v>143</v>
      </c>
      <c r="I26" s="19" t="s">
        <v>95</v>
      </c>
      <c r="J26" s="19" t="s">
        <v>720</v>
      </c>
      <c r="K26" s="26" t="str">
        <f>HYPERLINK("https://maxxton.atlassian.net/browse/QA-29079","QA-29079")</f>
        <v>QA-29079</v>
      </c>
      <c r="L26" s="19" t="s">
        <v>514</v>
      </c>
      <c r="M26" s="8" t="s">
        <v>199</v>
      </c>
      <c r="N26" s="8" t="s">
        <v>199</v>
      </c>
      <c r="O26" s="8" t="s">
        <v>721</v>
      </c>
      <c r="P26" s="8"/>
      <c r="Q26" s="8" t="s">
        <v>715</v>
      </c>
      <c r="R26" s="8"/>
    </row>
    <row r="27">
      <c r="A27" s="25" t="str">
        <f>HYPERLINK("https://maxxton.atlassian.net/browse/QA-12633","QA-12633")</f>
        <v>QA-12633</v>
      </c>
      <c r="B27" s="19" t="s">
        <v>722</v>
      </c>
      <c r="C27" s="19" t="s">
        <v>95</v>
      </c>
      <c r="D27" s="19" t="s">
        <v>723</v>
      </c>
      <c r="E27" s="19" t="s">
        <v>708</v>
      </c>
      <c r="F27" s="19" t="s">
        <v>665</v>
      </c>
      <c r="G27" s="19" t="s">
        <v>179</v>
      </c>
      <c r="H27" s="19" t="s">
        <v>143</v>
      </c>
      <c r="I27" s="19" t="s">
        <v>169</v>
      </c>
      <c r="J27" s="19" t="s">
        <v>665</v>
      </c>
      <c r="K27" s="26" t="str">
        <f>HYPERLINK("https://maxxton.atlassian.net/browse/QA-29080","QA-29080")</f>
        <v>QA-29080</v>
      </c>
      <c r="L27" s="19" t="s">
        <v>514</v>
      </c>
      <c r="M27" s="8" t="s">
        <v>179</v>
      </c>
      <c r="N27" s="8" t="s">
        <v>179</v>
      </c>
      <c r="O27" s="8" t="s">
        <v>714</v>
      </c>
    </row>
    <row r="28">
      <c r="A28" s="25" t="str">
        <f>HYPERLINK("https://maxxton.atlassian.net/browse/QA-12943","QA-12943")</f>
        <v>QA-12943</v>
      </c>
      <c r="B28" s="19" t="s">
        <v>724</v>
      </c>
      <c r="C28" s="19" t="s">
        <v>95</v>
      </c>
      <c r="D28" s="19" t="s">
        <v>723</v>
      </c>
      <c r="E28" s="19" t="s">
        <v>708</v>
      </c>
      <c r="F28" s="19" t="s">
        <v>720</v>
      </c>
      <c r="G28" s="19" t="s">
        <v>231</v>
      </c>
      <c r="H28" s="19" t="s">
        <v>143</v>
      </c>
      <c r="I28" s="19" t="s">
        <v>95</v>
      </c>
      <c r="J28" s="19" t="s">
        <v>720</v>
      </c>
      <c r="K28" s="26" t="str">
        <f>HYPERLINK("https://maxxton.atlassian.net/browse/QA-29081","QA-29081")</f>
        <v>QA-29081</v>
      </c>
      <c r="L28" s="19" t="s">
        <v>514</v>
      </c>
      <c r="M28" s="8" t="s">
        <v>187</v>
      </c>
      <c r="N28" s="8" t="s">
        <v>187</v>
      </c>
      <c r="O28" s="108" t="s">
        <v>725</v>
      </c>
    </row>
    <row r="29">
      <c r="A29" s="25" t="str">
        <f>HYPERLINK("https://maxxton.atlassian.net/browse/QA-13357","QA-13357")</f>
        <v>QA-13357</v>
      </c>
      <c r="B29" s="19" t="s">
        <v>726</v>
      </c>
      <c r="C29" s="19" t="s">
        <v>95</v>
      </c>
      <c r="D29" s="19" t="s">
        <v>723</v>
      </c>
      <c r="E29" s="19" t="s">
        <v>708</v>
      </c>
      <c r="F29" s="19" t="s">
        <v>709</v>
      </c>
      <c r="G29" s="19" t="s">
        <v>216</v>
      </c>
      <c r="H29" s="19" t="s">
        <v>143</v>
      </c>
      <c r="I29" s="19" t="s">
        <v>95</v>
      </c>
      <c r="J29" s="19" t="s">
        <v>709</v>
      </c>
      <c r="K29" s="26" t="str">
        <f>HYPERLINK("https://maxxton.atlassian.net/browse/QA-29082","QA-29082")</f>
        <v>QA-29082</v>
      </c>
      <c r="L29" s="19" t="s">
        <v>514</v>
      </c>
      <c r="M29" s="8" t="s">
        <v>727</v>
      </c>
      <c r="N29" s="8" t="s">
        <v>727</v>
      </c>
      <c r="O29" s="8" t="s">
        <v>728</v>
      </c>
    </row>
    <row r="30">
      <c r="A30" s="25" t="str">
        <f>HYPERLINK("https://maxxton.atlassian.net/browse/QA-13906","QA-13906")</f>
        <v>QA-13906</v>
      </c>
      <c r="B30" s="19" t="s">
        <v>729</v>
      </c>
      <c r="C30" s="19" t="s">
        <v>95</v>
      </c>
      <c r="D30" s="19" t="s">
        <v>723</v>
      </c>
      <c r="E30" s="19" t="s">
        <v>708</v>
      </c>
      <c r="F30" s="19" t="s">
        <v>712</v>
      </c>
      <c r="G30" s="19" t="s">
        <v>730</v>
      </c>
      <c r="H30" s="19" t="s">
        <v>143</v>
      </c>
      <c r="I30" s="19" t="s">
        <v>95</v>
      </c>
      <c r="J30" s="19" t="s">
        <v>712</v>
      </c>
      <c r="K30" s="26" t="str">
        <f>HYPERLINK("https://maxxton.atlassian.net/browse/QA-29083","QA-29083")</f>
        <v>QA-29083</v>
      </c>
      <c r="L30" s="19" t="s">
        <v>514</v>
      </c>
      <c r="M30" s="8" t="s">
        <v>730</v>
      </c>
      <c r="N30" s="8" t="s">
        <v>730</v>
      </c>
      <c r="O30" s="8" t="s">
        <v>731</v>
      </c>
    </row>
    <row r="31">
      <c r="A31" s="25" t="str">
        <f>HYPERLINK("https://maxxton.atlassian.net/browse/QA-16435","QA-16435")</f>
        <v>QA-16435</v>
      </c>
      <c r="B31" s="19" t="s">
        <v>732</v>
      </c>
      <c r="C31" s="19" t="s">
        <v>95</v>
      </c>
      <c r="D31" s="19" t="s">
        <v>723</v>
      </c>
      <c r="E31" s="19" t="s">
        <v>708</v>
      </c>
      <c r="F31" s="19" t="s">
        <v>665</v>
      </c>
      <c r="G31" s="19" t="s">
        <v>231</v>
      </c>
      <c r="H31" s="19" t="s">
        <v>143</v>
      </c>
      <c r="I31" s="19" t="s">
        <v>95</v>
      </c>
      <c r="J31" s="19" t="s">
        <v>665</v>
      </c>
      <c r="K31" s="26" t="str">
        <f>HYPERLINK("https://maxxton.atlassian.net/browse/QA-29084","QA-29084")</f>
        <v>QA-29084</v>
      </c>
      <c r="L31" s="19" t="s">
        <v>514</v>
      </c>
      <c r="M31" s="8" t="s">
        <v>231</v>
      </c>
      <c r="N31" s="8" t="s">
        <v>231</v>
      </c>
      <c r="O31" s="109" t="s">
        <v>733</v>
      </c>
    </row>
    <row r="32">
      <c r="A32" s="25" t="str">
        <f>HYPERLINK("https://maxxton.atlassian.net/browse/QA-18194","QA-18194")</f>
        <v>QA-18194</v>
      </c>
      <c r="B32" s="19" t="s">
        <v>734</v>
      </c>
      <c r="C32" s="19" t="s">
        <v>95</v>
      </c>
      <c r="D32" s="19" t="s">
        <v>723</v>
      </c>
      <c r="E32" s="19" t="s">
        <v>708</v>
      </c>
      <c r="F32" s="19" t="s">
        <v>720</v>
      </c>
      <c r="G32" s="19" t="s">
        <v>199</v>
      </c>
      <c r="H32" s="19" t="s">
        <v>143</v>
      </c>
      <c r="I32" s="19" t="s">
        <v>95</v>
      </c>
      <c r="J32" s="19" t="s">
        <v>720</v>
      </c>
      <c r="K32" s="26" t="str">
        <f>HYPERLINK("https://maxxton.atlassian.net/browse/QA-29085","QA-29085")</f>
        <v>QA-29085</v>
      </c>
      <c r="L32" s="19" t="s">
        <v>514</v>
      </c>
      <c r="M32" s="8" t="s">
        <v>179</v>
      </c>
      <c r="N32" s="8" t="s">
        <v>179</v>
      </c>
      <c r="O32" s="109" t="s">
        <v>733</v>
      </c>
    </row>
    <row r="33">
      <c r="A33" s="25" t="str">
        <f>HYPERLINK("https://maxxton.atlassian.net/browse/QA-18195","QA-18195")</f>
        <v>QA-18195</v>
      </c>
      <c r="B33" s="19" t="s">
        <v>735</v>
      </c>
      <c r="C33" s="19" t="s">
        <v>95</v>
      </c>
      <c r="D33" s="19" t="s">
        <v>723</v>
      </c>
      <c r="E33" s="19" t="s">
        <v>708</v>
      </c>
      <c r="F33" s="19" t="s">
        <v>709</v>
      </c>
      <c r="G33" s="19" t="s">
        <v>172</v>
      </c>
      <c r="H33" s="19" t="s">
        <v>143</v>
      </c>
      <c r="I33" s="19" t="s">
        <v>95</v>
      </c>
      <c r="J33" s="19" t="s">
        <v>709</v>
      </c>
      <c r="K33" s="26" t="str">
        <f>HYPERLINK("https://maxxton.atlassian.net/browse/QA-29086","QA-29086")</f>
        <v>QA-29086</v>
      </c>
      <c r="L33" s="19" t="s">
        <v>514</v>
      </c>
      <c r="M33" s="8" t="s">
        <v>235</v>
      </c>
      <c r="N33" s="8" t="s">
        <v>172</v>
      </c>
      <c r="O33" s="8" t="s">
        <v>736</v>
      </c>
    </row>
    <row r="34">
      <c r="A34" s="25" t="str">
        <f>HYPERLINK("https://maxxton.atlassian.net/browse/QA-18196","QA-18196")</f>
        <v>QA-18196</v>
      </c>
      <c r="B34" s="19" t="s">
        <v>737</v>
      </c>
      <c r="C34" s="19" t="s">
        <v>95</v>
      </c>
      <c r="D34" s="19" t="s">
        <v>723</v>
      </c>
      <c r="E34" s="19" t="s">
        <v>708</v>
      </c>
      <c r="F34" s="19" t="s">
        <v>709</v>
      </c>
      <c r="G34" s="19" t="s">
        <v>231</v>
      </c>
      <c r="H34" s="19" t="s">
        <v>143</v>
      </c>
      <c r="I34" s="19" t="s">
        <v>95</v>
      </c>
      <c r="J34" s="19" t="s">
        <v>709</v>
      </c>
      <c r="K34" s="26" t="str">
        <f>HYPERLINK("https://maxxton.atlassian.net/browse/QA-29087","QA-29087")</f>
        <v>QA-29087</v>
      </c>
      <c r="L34" s="19" t="s">
        <v>514</v>
      </c>
      <c r="M34" s="8" t="s">
        <v>231</v>
      </c>
      <c r="N34" s="8" t="s">
        <v>231</v>
      </c>
      <c r="O34" s="8" t="s">
        <v>738</v>
      </c>
    </row>
    <row r="35">
      <c r="A35" s="25" t="str">
        <f>HYPERLINK("https://maxxton.atlassian.net/browse/QA-18197","QA-18197")</f>
        <v>QA-18197</v>
      </c>
      <c r="B35" s="19" t="s">
        <v>739</v>
      </c>
      <c r="C35" s="19" t="s">
        <v>95</v>
      </c>
      <c r="D35" s="19" t="s">
        <v>723</v>
      </c>
      <c r="E35" s="19" t="s">
        <v>708</v>
      </c>
      <c r="F35" s="19" t="s">
        <v>709</v>
      </c>
      <c r="G35" s="19" t="s">
        <v>216</v>
      </c>
      <c r="H35" s="19" t="s">
        <v>143</v>
      </c>
      <c r="I35" s="19" t="s">
        <v>95</v>
      </c>
      <c r="J35" s="19" t="s">
        <v>709</v>
      </c>
      <c r="K35" s="26" t="str">
        <f>HYPERLINK("https://maxxton.atlassian.net/browse/QA-29088","QA-29088")</f>
        <v>QA-29088</v>
      </c>
      <c r="L35" s="19" t="s">
        <v>514</v>
      </c>
      <c r="M35" s="8" t="s">
        <v>216</v>
      </c>
      <c r="N35" s="8" t="s">
        <v>216</v>
      </c>
      <c r="O35" s="8" t="s">
        <v>740</v>
      </c>
    </row>
    <row r="36">
      <c r="A36" s="25" t="str">
        <f>HYPERLINK("https://maxxton.atlassian.net/browse/QA-18198","QA-18198")</f>
        <v>QA-18198</v>
      </c>
      <c r="B36" s="19" t="s">
        <v>741</v>
      </c>
      <c r="C36" s="19" t="s">
        <v>95</v>
      </c>
      <c r="D36" s="19" t="s">
        <v>723</v>
      </c>
      <c r="E36" s="19" t="s">
        <v>708</v>
      </c>
      <c r="F36" s="19" t="s">
        <v>709</v>
      </c>
      <c r="G36" s="19" t="s">
        <v>225</v>
      </c>
      <c r="H36" s="19" t="s">
        <v>143</v>
      </c>
      <c r="I36" s="19" t="s">
        <v>95</v>
      </c>
      <c r="J36" s="19" t="s">
        <v>709</v>
      </c>
      <c r="K36" s="26" t="str">
        <f>HYPERLINK("https://maxxton.atlassian.net/browse/QA-29089","QA-29089")</f>
        <v>QA-29089</v>
      </c>
      <c r="L36" s="19" t="s">
        <v>514</v>
      </c>
      <c r="M36" s="8" t="s">
        <v>199</v>
      </c>
      <c r="N36" s="8" t="s">
        <v>199</v>
      </c>
      <c r="O36" s="108" t="s">
        <v>725</v>
      </c>
    </row>
    <row r="37">
      <c r="A37" s="25" t="str">
        <f>HYPERLINK("https://maxxton.atlassian.net/browse/QA-19223","QA-19223")</f>
        <v>QA-19223</v>
      </c>
      <c r="B37" s="19" t="s">
        <v>742</v>
      </c>
      <c r="C37" s="19" t="s">
        <v>95</v>
      </c>
      <c r="D37" s="19" t="s">
        <v>723</v>
      </c>
      <c r="E37" s="19" t="s">
        <v>708</v>
      </c>
      <c r="F37" s="19" t="s">
        <v>720</v>
      </c>
      <c r="G37" s="19" t="s">
        <v>483</v>
      </c>
      <c r="H37" s="19" t="s">
        <v>143</v>
      </c>
      <c r="I37" s="19" t="s">
        <v>95</v>
      </c>
      <c r="J37" s="19" t="s">
        <v>720</v>
      </c>
      <c r="K37" s="26" t="str">
        <f>HYPERLINK("https://maxxton.atlassian.net/browse/QA-29090","QA-29090")</f>
        <v>QA-29090</v>
      </c>
      <c r="L37" s="19" t="s">
        <v>514</v>
      </c>
      <c r="M37" s="8" t="s">
        <v>216</v>
      </c>
      <c r="N37" s="8" t="s">
        <v>216</v>
      </c>
      <c r="O37" s="8" t="s">
        <v>743</v>
      </c>
    </row>
    <row r="38">
      <c r="A38" s="110" t="str">
        <f>HYPERLINK("https://maxxton.atlassian.net/browse/QA-21276","QA-21276")</f>
        <v>QA-21276</v>
      </c>
      <c r="B38" s="19" t="s">
        <v>744</v>
      </c>
      <c r="C38" s="19" t="s">
        <v>95</v>
      </c>
      <c r="D38" s="19" t="s">
        <v>693</v>
      </c>
      <c r="E38" s="19" t="s">
        <v>663</v>
      </c>
      <c r="F38" s="19" t="s">
        <v>665</v>
      </c>
      <c r="G38" s="19" t="s">
        <v>225</v>
      </c>
      <c r="H38" s="19" t="s">
        <v>143</v>
      </c>
      <c r="I38" s="19" t="s">
        <v>95</v>
      </c>
      <c r="J38" s="19" t="s">
        <v>665</v>
      </c>
      <c r="K38" s="26" t="str">
        <f>HYPERLINK("https://maxxton.atlassian.net/browse/QA-29091","QA-29091")</f>
        <v>QA-29091</v>
      </c>
      <c r="L38" s="19" t="s">
        <v>514</v>
      </c>
      <c r="M38" s="8" t="s">
        <v>479</v>
      </c>
      <c r="N38" s="8" t="s">
        <v>479</v>
      </c>
      <c r="O38" s="108" t="s">
        <v>725</v>
      </c>
    </row>
    <row r="39">
      <c r="A39" s="110" t="str">
        <f>HYPERLINK("https://maxxton.atlassian.net/browse/QA-21276","QA-22095")</f>
        <v>QA-22095</v>
      </c>
      <c r="B39" s="19" t="s">
        <v>745</v>
      </c>
      <c r="C39" s="19" t="s">
        <v>95</v>
      </c>
      <c r="D39" s="19" t="s">
        <v>723</v>
      </c>
      <c r="E39" s="19" t="s">
        <v>708</v>
      </c>
      <c r="F39" s="19" t="s">
        <v>720</v>
      </c>
      <c r="G39" s="19" t="s">
        <v>231</v>
      </c>
      <c r="H39" s="19" t="s">
        <v>143</v>
      </c>
      <c r="I39" s="19" t="s">
        <v>95</v>
      </c>
      <c r="J39" s="19" t="s">
        <v>720</v>
      </c>
      <c r="K39" s="26" t="str">
        <f>HYPERLINK("https://maxxton.atlassian.net/browse/QA-29092","QA-29092")</f>
        <v>QA-29092</v>
      </c>
      <c r="L39" s="19" t="s">
        <v>514</v>
      </c>
      <c r="M39" s="8" t="s">
        <v>187</v>
      </c>
      <c r="N39" s="8" t="s">
        <v>187</v>
      </c>
      <c r="O39" s="109" t="s">
        <v>733</v>
      </c>
    </row>
    <row r="40">
      <c r="A40" s="25" t="str">
        <f>HYPERLINK("https://maxxton.atlassian.net/browse/QA-12940","QA-12940")</f>
        <v>QA-12940</v>
      </c>
      <c r="B40" s="19" t="s">
        <v>746</v>
      </c>
      <c r="C40" s="19" t="s">
        <v>95</v>
      </c>
      <c r="D40" s="19" t="s">
        <v>723</v>
      </c>
      <c r="E40" s="19" t="s">
        <v>708</v>
      </c>
      <c r="F40" s="19" t="s">
        <v>712</v>
      </c>
      <c r="G40" s="19" t="s">
        <v>747</v>
      </c>
      <c r="H40" s="19" t="s">
        <v>143</v>
      </c>
      <c r="I40" s="19" t="s">
        <v>95</v>
      </c>
      <c r="J40" s="19" t="s">
        <v>712</v>
      </c>
      <c r="K40" s="26" t="str">
        <f>HYPERLINK("https://maxxton.atlassian.net/browse/QA-29093","QA-29093")</f>
        <v>QA-29093</v>
      </c>
      <c r="L40" s="19" t="s">
        <v>514</v>
      </c>
      <c r="O40" s="8" t="s">
        <v>714</v>
      </c>
    </row>
    <row r="41">
      <c r="A41" s="21"/>
      <c r="B41" s="19" t="s">
        <v>748</v>
      </c>
      <c r="C41" s="21"/>
      <c r="D41" s="21"/>
      <c r="E41" s="21"/>
      <c r="F41" s="21"/>
      <c r="G41" s="21"/>
      <c r="H41" s="21"/>
      <c r="I41" s="21"/>
      <c r="J41" s="21"/>
      <c r="K41" s="21"/>
      <c r="L41" s="21"/>
      <c r="O41" s="8" t="s">
        <v>749</v>
      </c>
    </row>
    <row r="43">
      <c r="C43" s="24"/>
      <c r="F43" s="24"/>
      <c r="H43" s="24"/>
      <c r="I43" s="24"/>
      <c r="J43" s="24"/>
    </row>
    <row r="44">
      <c r="C44" s="24"/>
      <c r="F44" s="24"/>
      <c r="H44" s="24"/>
      <c r="I44" s="24"/>
      <c r="J44" s="24"/>
    </row>
    <row r="45">
      <c r="C45" s="24"/>
      <c r="F45" s="24"/>
      <c r="H45" s="24"/>
      <c r="I45" s="24"/>
      <c r="J45" s="24"/>
    </row>
    <row r="46">
      <c r="C46" s="24"/>
      <c r="F46" s="24"/>
      <c r="H46" s="24"/>
      <c r="I46" s="24"/>
      <c r="J46" s="24"/>
    </row>
    <row r="47">
      <c r="C47" s="24"/>
      <c r="F47" s="24"/>
      <c r="H47" s="24"/>
      <c r="I47" s="24"/>
      <c r="J47" s="24"/>
    </row>
    <row r="48">
      <c r="C48" s="24"/>
      <c r="F48" s="24"/>
      <c r="H48" s="24"/>
      <c r="I48" s="24"/>
      <c r="J48" s="24"/>
    </row>
    <row r="49">
      <c r="C49" s="24"/>
      <c r="F49" s="24"/>
      <c r="H49" s="24"/>
      <c r="I49" s="24"/>
      <c r="J49" s="24"/>
    </row>
    <row r="50">
      <c r="C50" s="24"/>
      <c r="F50" s="24"/>
      <c r="H50" s="24"/>
      <c r="I50" s="24"/>
      <c r="J50" s="24"/>
    </row>
    <row r="51">
      <c r="C51" s="24"/>
      <c r="F51" s="24"/>
      <c r="H51" s="24"/>
      <c r="I51" s="24"/>
      <c r="J51" s="24"/>
    </row>
    <row r="52">
      <c r="C52" s="24"/>
      <c r="F52" s="24"/>
      <c r="H52" s="24"/>
      <c r="I52" s="24"/>
      <c r="J52" s="24"/>
    </row>
    <row r="53">
      <c r="C53" s="24"/>
      <c r="F53" s="24"/>
      <c r="H53" s="24"/>
      <c r="I53" s="24"/>
      <c r="J53" s="24"/>
    </row>
    <row r="54">
      <c r="C54" s="24"/>
      <c r="F54" s="24"/>
      <c r="H54" s="24"/>
      <c r="I54" s="24"/>
      <c r="J54" s="24"/>
    </row>
    <row r="55">
      <c r="C55" s="24"/>
      <c r="F55" s="24"/>
      <c r="H55" s="24"/>
      <c r="I55" s="24"/>
      <c r="J55" s="24"/>
    </row>
    <row r="56">
      <c r="C56" s="24"/>
      <c r="F56" s="24"/>
      <c r="H56" s="24"/>
      <c r="I56" s="24"/>
      <c r="J56" s="24"/>
    </row>
    <row r="57">
      <c r="C57" s="24"/>
      <c r="F57" s="24"/>
      <c r="H57" s="24"/>
      <c r="I57" s="24"/>
      <c r="J57" s="24"/>
    </row>
    <row r="58">
      <c r="C58" s="24"/>
      <c r="F58" s="24"/>
      <c r="H58" s="24"/>
      <c r="I58" s="24"/>
      <c r="J58" s="24"/>
    </row>
    <row r="59">
      <c r="C59" s="24"/>
      <c r="F59" s="24"/>
      <c r="H59" s="24"/>
      <c r="I59" s="24"/>
      <c r="J59" s="24"/>
    </row>
    <row r="60">
      <c r="C60" s="24"/>
      <c r="F60" s="24"/>
      <c r="H60" s="24"/>
      <c r="I60" s="24"/>
      <c r="J60" s="24"/>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sheetData>
  <customSheetViews>
    <customSheetView guid="{FA479922-36A1-4361-91B6-66E49F554F83}" filter="1" showAutoFilter="1">
      <autoFilter ref="$A$6:$L$37"/>
    </customSheetView>
  </customSheetViews>
  <mergeCells count="1">
    <mergeCell ref="S1:T1"/>
  </mergeCells>
  <conditionalFormatting sqref="H1:H986">
    <cfRule type="cellIs" dxfId="0" priority="1" operator="equal">
      <formula>"Y"</formula>
    </cfRule>
  </conditionalFormatting>
  <conditionalFormatting sqref="H1:H986">
    <cfRule type="containsText" dxfId="1" priority="2" operator="containsText" text="N">
      <formula>NOT(ISERROR(SEARCH(("N"),(H1))))</formula>
    </cfRule>
  </conditionalFormatting>
  <dataValidations>
    <dataValidation type="list" allowBlank="1" sqref="C7:C41 I7:I41 C43:C986 I43:I986">
      <formula1>"P1,P2,P3,P4,P5"</formula1>
    </dataValidation>
    <dataValidation type="list" allowBlank="1" sqref="F7:F41 J7:J41 F43:F986 J43:J986">
      <formula1>BaseData!$A$2:$A$53</formula1>
    </dataValidation>
    <dataValidation type="list" allowBlank="1" sqref="H7:H41 H43:H986">
      <formula1>"Y,N"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29.0"/>
    <col customWidth="1" min="3" max="3" width="7.25"/>
    <col customWidth="1" min="4" max="4" width="33.75"/>
    <col customWidth="1" min="5" max="5" width="9.13"/>
    <col customWidth="1" min="6" max="6" width="47.88"/>
    <col customWidth="1" min="7" max="7" width="12.63"/>
    <col customWidth="1" min="8" max="8" width="11.0"/>
    <col customWidth="1" min="9" max="9" width="9.75"/>
    <col customWidth="1" min="10" max="10" width="18.0"/>
    <col customWidth="1" min="11" max="11" width="10.88"/>
    <col customWidth="1" min="12" max="12" width="40.25"/>
    <col customWidth="1" min="13" max="13" width="21.13"/>
    <col customWidth="1" min="14" max="14" width="30.25"/>
    <col customWidth="1" min="15" max="15" width="24.88"/>
    <col customWidth="1" min="16" max="16" width="5.75"/>
    <col customWidth="1" min="17" max="17" width="23.25"/>
  </cols>
  <sheetData>
    <row r="1">
      <c r="J1" s="8"/>
      <c r="O1" s="9" t="s">
        <v>36</v>
      </c>
      <c r="P1" s="10" t="s">
        <v>37</v>
      </c>
      <c r="Q1" s="11"/>
    </row>
    <row r="2">
      <c r="A2" s="8"/>
      <c r="B2" s="8"/>
      <c r="E2" s="8"/>
      <c r="F2" s="12" t="s">
        <v>25</v>
      </c>
      <c r="G2" s="1">
        <f>countifs(A:A,"&lt;&gt;NEW",A:A,"&lt;&gt;")-1</f>
        <v>17</v>
      </c>
      <c r="I2" s="8"/>
      <c r="J2" s="8"/>
      <c r="O2" s="13" t="s">
        <v>38</v>
      </c>
      <c r="P2" s="14" t="s">
        <v>39</v>
      </c>
      <c r="Q2" s="15" t="s">
        <v>40</v>
      </c>
    </row>
    <row r="3">
      <c r="A3" s="8"/>
      <c r="B3" s="8"/>
      <c r="D3" s="16"/>
      <c r="E3" s="8"/>
      <c r="F3" s="17" t="s">
        <v>41</v>
      </c>
      <c r="G3" s="18">
        <f>countif(H:H,"=Y")</f>
        <v>17</v>
      </c>
      <c r="H3" s="8"/>
      <c r="I3" s="8"/>
      <c r="J3" s="8"/>
      <c r="O3" s="13" t="s">
        <v>42</v>
      </c>
      <c r="P3" s="14" t="s">
        <v>43</v>
      </c>
      <c r="Q3" s="15" t="s">
        <v>44</v>
      </c>
    </row>
    <row r="4">
      <c r="A4" s="8"/>
      <c r="B4" s="8"/>
      <c r="E4" s="8"/>
      <c r="F4" s="17" t="s">
        <v>45</v>
      </c>
      <c r="G4" s="18">
        <f>COUNTIF(A:A,"=NEW")</f>
        <v>0</v>
      </c>
      <c r="H4" s="8"/>
      <c r="I4" s="8"/>
      <c r="J4" s="8"/>
      <c r="O4" s="13" t="s">
        <v>46</v>
      </c>
      <c r="P4" s="14" t="s">
        <v>47</v>
      </c>
      <c r="Q4" s="15" t="s">
        <v>48</v>
      </c>
    </row>
    <row r="5">
      <c r="A5" s="8"/>
      <c r="B5" s="8"/>
      <c r="C5" s="8"/>
      <c r="D5" s="8"/>
      <c r="E5" s="8" t="s">
        <v>750</v>
      </c>
      <c r="F5" s="8" t="s">
        <v>751</v>
      </c>
      <c r="G5" s="8" t="s">
        <v>752</v>
      </c>
      <c r="H5" s="8"/>
      <c r="I5" s="8"/>
      <c r="J5" s="8"/>
      <c r="O5" s="13" t="s">
        <v>49</v>
      </c>
      <c r="P5" s="14" t="s">
        <v>50</v>
      </c>
      <c r="Q5" s="15" t="s">
        <v>51</v>
      </c>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165</v>
      </c>
      <c r="O6" s="13" t="s">
        <v>64</v>
      </c>
      <c r="P6" s="14" t="s">
        <v>65</v>
      </c>
      <c r="Q6" s="15" t="s">
        <v>66</v>
      </c>
    </row>
    <row r="7">
      <c r="A7" s="63" t="s">
        <v>753</v>
      </c>
      <c r="B7" s="64" t="s">
        <v>754</v>
      </c>
      <c r="C7" s="19" t="s">
        <v>95</v>
      </c>
      <c r="D7" s="27" t="s">
        <v>755</v>
      </c>
      <c r="E7" s="27" t="s">
        <v>756</v>
      </c>
      <c r="F7" s="19" t="s">
        <v>757</v>
      </c>
      <c r="G7" s="19"/>
      <c r="H7" s="19" t="s">
        <v>143</v>
      </c>
      <c r="I7" s="19" t="s">
        <v>95</v>
      </c>
      <c r="J7" s="19" t="s">
        <v>758</v>
      </c>
      <c r="K7" s="25" t="str">
        <f>HYPERLINK("https://maxxton.atlassian.net/browse/QA-28984","QA-28984")</f>
        <v>QA-28984</v>
      </c>
      <c r="L7" s="19" t="s">
        <v>475</v>
      </c>
      <c r="M7" s="8" t="s">
        <v>759</v>
      </c>
      <c r="N7" s="8" t="s">
        <v>172</v>
      </c>
      <c r="O7" s="14" t="s">
        <v>67</v>
      </c>
      <c r="P7" s="20" t="s">
        <v>68</v>
      </c>
      <c r="Q7" s="20" t="s">
        <v>69</v>
      </c>
    </row>
    <row r="8">
      <c r="A8" s="66" t="s">
        <v>760</v>
      </c>
      <c r="B8" s="15" t="s">
        <v>761</v>
      </c>
      <c r="C8" s="19" t="s">
        <v>95</v>
      </c>
      <c r="D8" s="14" t="s">
        <v>755</v>
      </c>
      <c r="E8" s="14" t="s">
        <v>756</v>
      </c>
      <c r="F8" s="19" t="s">
        <v>758</v>
      </c>
      <c r="G8" s="19"/>
      <c r="H8" s="19" t="s">
        <v>143</v>
      </c>
      <c r="I8" s="19" t="s">
        <v>95</v>
      </c>
      <c r="J8" s="19" t="s">
        <v>758</v>
      </c>
      <c r="K8" s="25" t="str">
        <f>HYPERLINK("https://maxxton.atlassian.net/browse/QA-28985","QA-28985")</f>
        <v>QA-28985</v>
      </c>
      <c r="L8" s="19" t="s">
        <v>475</v>
      </c>
      <c r="M8" s="8" t="s">
        <v>110</v>
      </c>
      <c r="N8" s="8" t="s">
        <v>241</v>
      </c>
      <c r="O8" s="14" t="s">
        <v>70</v>
      </c>
      <c r="P8" s="20" t="s">
        <v>71</v>
      </c>
      <c r="Q8" s="20" t="s">
        <v>72</v>
      </c>
    </row>
    <row r="9">
      <c r="A9" s="66" t="s">
        <v>762</v>
      </c>
      <c r="B9" s="15" t="s">
        <v>763</v>
      </c>
      <c r="C9" s="19" t="s">
        <v>95</v>
      </c>
      <c r="D9" s="14" t="s">
        <v>764</v>
      </c>
      <c r="E9" s="14" t="s">
        <v>756</v>
      </c>
      <c r="F9" s="19" t="s">
        <v>758</v>
      </c>
      <c r="G9" s="19"/>
      <c r="H9" s="19" t="s">
        <v>143</v>
      </c>
      <c r="I9" s="19" t="s">
        <v>95</v>
      </c>
      <c r="J9" s="19" t="s">
        <v>758</v>
      </c>
      <c r="K9" s="25" t="str">
        <f>HYPERLINK("https://maxxton.atlassian.net/browse/QA-28986","QA-28986")</f>
        <v>QA-28986</v>
      </c>
      <c r="L9" s="19" t="s">
        <v>475</v>
      </c>
      <c r="M9" s="8" t="s">
        <v>759</v>
      </c>
      <c r="N9" s="8" t="s">
        <v>172</v>
      </c>
      <c r="O9" s="14" t="s">
        <v>73</v>
      </c>
      <c r="P9" s="20" t="s">
        <v>74</v>
      </c>
      <c r="Q9" s="20" t="s">
        <v>75</v>
      </c>
    </row>
    <row r="10">
      <c r="A10" s="66" t="s">
        <v>765</v>
      </c>
      <c r="B10" s="15" t="s">
        <v>766</v>
      </c>
      <c r="C10" s="19" t="s">
        <v>95</v>
      </c>
      <c r="D10" s="14" t="s">
        <v>764</v>
      </c>
      <c r="E10" s="14" t="s">
        <v>756</v>
      </c>
      <c r="F10" s="19" t="s">
        <v>758</v>
      </c>
      <c r="G10" s="19"/>
      <c r="H10" s="19" t="s">
        <v>143</v>
      </c>
      <c r="I10" s="19" t="s">
        <v>95</v>
      </c>
      <c r="J10" s="19" t="s">
        <v>758</v>
      </c>
      <c r="K10" s="25" t="str">
        <f>HYPERLINK("https://maxxton.atlassian.net/browse/QA-28987","QA-28987")</f>
        <v>QA-28987</v>
      </c>
      <c r="L10" s="19" t="s">
        <v>475</v>
      </c>
      <c r="M10" s="8" t="s">
        <v>767</v>
      </c>
      <c r="N10" s="8" t="s">
        <v>172</v>
      </c>
      <c r="O10" s="14" t="s">
        <v>76</v>
      </c>
      <c r="P10" s="20"/>
      <c r="Q10" s="20"/>
    </row>
    <row r="11">
      <c r="A11" s="66" t="s">
        <v>768</v>
      </c>
      <c r="B11" s="15" t="s">
        <v>769</v>
      </c>
      <c r="C11" s="19" t="s">
        <v>95</v>
      </c>
      <c r="D11" s="14" t="s">
        <v>770</v>
      </c>
      <c r="E11" s="14" t="s">
        <v>756</v>
      </c>
      <c r="F11" s="19" t="s">
        <v>757</v>
      </c>
      <c r="G11" s="19"/>
      <c r="H11" s="19" t="s">
        <v>143</v>
      </c>
      <c r="I11" s="19" t="s">
        <v>95</v>
      </c>
      <c r="J11" s="19" t="s">
        <v>758</v>
      </c>
      <c r="K11" s="25" t="str">
        <f>HYPERLINK("https://maxxton.atlassian.net/browse/QA-28988","QA-28988")</f>
        <v>QA-28988</v>
      </c>
      <c r="L11" s="19" t="s">
        <v>475</v>
      </c>
      <c r="M11" s="8" t="s">
        <v>759</v>
      </c>
      <c r="N11" s="8" t="s">
        <v>172</v>
      </c>
      <c r="O11" s="14" t="s">
        <v>77</v>
      </c>
      <c r="P11" s="20"/>
      <c r="Q11" s="20"/>
    </row>
    <row r="12">
      <c r="A12" s="66" t="s">
        <v>771</v>
      </c>
      <c r="B12" s="15" t="s">
        <v>772</v>
      </c>
      <c r="C12" s="19" t="s">
        <v>95</v>
      </c>
      <c r="D12" s="14" t="s">
        <v>773</v>
      </c>
      <c r="E12" s="14" t="s">
        <v>756</v>
      </c>
      <c r="F12" s="19" t="s">
        <v>757</v>
      </c>
      <c r="G12" s="21"/>
      <c r="H12" s="19" t="s">
        <v>143</v>
      </c>
      <c r="I12" s="19" t="s">
        <v>95</v>
      </c>
      <c r="J12" s="19" t="s">
        <v>758</v>
      </c>
      <c r="K12" s="25" t="str">
        <f>HYPERLINK("https://maxxton.atlassian.net/browse/QA-28989","QA-28989")</f>
        <v>QA-28989</v>
      </c>
      <c r="L12" s="19" t="s">
        <v>475</v>
      </c>
      <c r="M12" s="8" t="s">
        <v>774</v>
      </c>
      <c r="N12" s="8" t="s">
        <v>172</v>
      </c>
      <c r="O12" s="14" t="s">
        <v>78</v>
      </c>
      <c r="P12" s="20"/>
      <c r="Q12" s="20"/>
    </row>
    <row r="13">
      <c r="A13" s="71" t="str">
        <f>HYPERLINK("https://maxxton.atlassian.net/browse/QA-15666","QA-15666")</f>
        <v>QA-15666</v>
      </c>
      <c r="B13" s="48" t="s">
        <v>775</v>
      </c>
      <c r="C13" s="19" t="s">
        <v>95</v>
      </c>
      <c r="D13" s="14" t="s">
        <v>776</v>
      </c>
      <c r="E13" s="14" t="s">
        <v>756</v>
      </c>
      <c r="F13" s="19" t="s">
        <v>758</v>
      </c>
      <c r="G13" s="19"/>
      <c r="H13" s="19" t="s">
        <v>143</v>
      </c>
      <c r="I13" s="19" t="s">
        <v>95</v>
      </c>
      <c r="J13" s="19" t="s">
        <v>758</v>
      </c>
      <c r="K13" s="26" t="str">
        <f>HYPERLINK("https://maxxton.atlassian.net/browse/QA-28990","QA-28990")</f>
        <v>QA-28990</v>
      </c>
      <c r="L13" s="19" t="s">
        <v>475</v>
      </c>
      <c r="M13" s="8" t="s">
        <v>110</v>
      </c>
      <c r="N13" s="8" t="s">
        <v>241</v>
      </c>
      <c r="O13" s="14" t="s">
        <v>86</v>
      </c>
      <c r="P13" s="20"/>
      <c r="Q13" s="20"/>
    </row>
    <row r="14">
      <c r="A14" s="19" t="s">
        <v>777</v>
      </c>
      <c r="B14" s="19" t="s">
        <v>778</v>
      </c>
      <c r="C14" s="19" t="s">
        <v>95</v>
      </c>
      <c r="D14" s="19" t="s">
        <v>770</v>
      </c>
      <c r="E14" s="19" t="s">
        <v>756</v>
      </c>
      <c r="F14" s="19" t="s">
        <v>757</v>
      </c>
      <c r="G14" s="21"/>
      <c r="H14" s="19" t="s">
        <v>143</v>
      </c>
      <c r="I14" s="19" t="s">
        <v>95</v>
      </c>
      <c r="J14" s="19" t="s">
        <v>758</v>
      </c>
      <c r="K14" s="26" t="str">
        <f>HYPERLINK("https://maxxton.atlassian.net/browse/QA-28991","QA-28991")</f>
        <v>QA-28991</v>
      </c>
      <c r="L14" s="19" t="s">
        <v>475</v>
      </c>
      <c r="M14" s="8" t="s">
        <v>110</v>
      </c>
      <c r="N14" s="8" t="s">
        <v>241</v>
      </c>
      <c r="O14" s="22" t="s">
        <v>90</v>
      </c>
      <c r="P14" s="20"/>
      <c r="Q14" s="20"/>
    </row>
    <row r="15">
      <c r="A15" s="19" t="s">
        <v>779</v>
      </c>
      <c r="B15" s="19" t="s">
        <v>780</v>
      </c>
      <c r="C15" s="19" t="s">
        <v>95</v>
      </c>
      <c r="D15" s="111" t="s">
        <v>781</v>
      </c>
      <c r="E15" s="19" t="s">
        <v>756</v>
      </c>
      <c r="F15" s="19" t="s">
        <v>757</v>
      </c>
      <c r="G15" s="21"/>
      <c r="H15" s="19" t="s">
        <v>143</v>
      </c>
      <c r="I15" s="19" t="s">
        <v>95</v>
      </c>
      <c r="J15" s="19" t="s">
        <v>758</v>
      </c>
      <c r="K15" s="26" t="str">
        <f>HYPERLINK("https://maxxton.atlassian.net/browse/QA-28992","QA-28992")</f>
        <v>QA-28992</v>
      </c>
      <c r="L15" s="19" t="s">
        <v>475</v>
      </c>
      <c r="M15" s="8" t="s">
        <v>110</v>
      </c>
      <c r="N15" s="8" t="s">
        <v>241</v>
      </c>
      <c r="O15" s="22" t="s">
        <v>91</v>
      </c>
      <c r="P15" s="20"/>
      <c r="Q15" s="20"/>
    </row>
    <row r="16">
      <c r="A16" s="19" t="s">
        <v>779</v>
      </c>
      <c r="B16" s="19" t="s">
        <v>782</v>
      </c>
      <c r="C16" s="19" t="s">
        <v>95</v>
      </c>
      <c r="D16" s="111" t="s">
        <v>781</v>
      </c>
      <c r="E16" s="19" t="s">
        <v>756</v>
      </c>
      <c r="F16" s="19" t="s">
        <v>757</v>
      </c>
      <c r="G16" s="21"/>
      <c r="H16" s="19" t="s">
        <v>143</v>
      </c>
      <c r="I16" s="19" t="s">
        <v>95</v>
      </c>
      <c r="J16" s="19" t="s">
        <v>758</v>
      </c>
      <c r="K16" s="26" t="str">
        <f>HYPERLINK("https://maxxton.atlassian.net/browse/QA-28993","QA-28993")</f>
        <v>QA-28993</v>
      </c>
      <c r="L16" s="19" t="s">
        <v>475</v>
      </c>
      <c r="M16" s="8" t="s">
        <v>110</v>
      </c>
      <c r="N16" s="8" t="s">
        <v>241</v>
      </c>
      <c r="O16" s="23" t="s">
        <v>92</v>
      </c>
      <c r="P16" s="20"/>
      <c r="Q16" s="20"/>
    </row>
    <row r="17">
      <c r="A17" s="8" t="s">
        <v>783</v>
      </c>
      <c r="B17" s="19" t="s">
        <v>784</v>
      </c>
      <c r="C17" s="19" t="s">
        <v>95</v>
      </c>
      <c r="D17" s="14" t="s">
        <v>770</v>
      </c>
      <c r="E17" s="14" t="s">
        <v>756</v>
      </c>
      <c r="F17" s="19" t="s">
        <v>757</v>
      </c>
      <c r="G17" s="21"/>
      <c r="H17" s="19" t="s">
        <v>143</v>
      </c>
      <c r="I17" s="19" t="s">
        <v>95</v>
      </c>
      <c r="J17" s="19" t="s">
        <v>758</v>
      </c>
      <c r="K17" s="26" t="str">
        <f>HYPERLINK("https://maxxton.atlassian.net/browse/QA-28994","QA-28994")</f>
        <v>QA-28994</v>
      </c>
      <c r="L17" s="19" t="s">
        <v>475</v>
      </c>
      <c r="M17" s="8" t="s">
        <v>110</v>
      </c>
      <c r="N17" s="8" t="s">
        <v>241</v>
      </c>
    </row>
    <row r="18">
      <c r="A18" s="19" t="s">
        <v>785</v>
      </c>
      <c r="B18" s="19" t="s">
        <v>786</v>
      </c>
      <c r="C18" s="19" t="s">
        <v>95</v>
      </c>
      <c r="D18" s="14" t="s">
        <v>770</v>
      </c>
      <c r="E18" s="19" t="s">
        <v>756</v>
      </c>
      <c r="F18" s="19" t="s">
        <v>758</v>
      </c>
      <c r="G18" s="21"/>
      <c r="H18" s="19" t="s">
        <v>143</v>
      </c>
      <c r="I18" s="19" t="s">
        <v>95</v>
      </c>
      <c r="J18" s="19" t="s">
        <v>758</v>
      </c>
      <c r="K18" s="26" t="str">
        <f>HYPERLINK("https://maxxton.atlassian.net/browse/QA-28995","QA-28995")</f>
        <v>QA-28995</v>
      </c>
      <c r="L18" s="19" t="s">
        <v>475</v>
      </c>
      <c r="M18" s="8" t="s">
        <v>172</v>
      </c>
      <c r="N18" s="8"/>
    </row>
    <row r="19">
      <c r="A19" s="19" t="s">
        <v>787</v>
      </c>
      <c r="B19" s="19" t="s">
        <v>788</v>
      </c>
      <c r="C19" s="19" t="s">
        <v>95</v>
      </c>
      <c r="D19" s="14" t="s">
        <v>770</v>
      </c>
      <c r="E19" s="19" t="s">
        <v>756</v>
      </c>
      <c r="F19" s="19" t="s">
        <v>758</v>
      </c>
      <c r="G19" s="21"/>
      <c r="H19" s="19" t="s">
        <v>143</v>
      </c>
      <c r="I19" s="19" t="s">
        <v>95</v>
      </c>
      <c r="J19" s="19" t="s">
        <v>758</v>
      </c>
      <c r="K19" s="26" t="str">
        <f>HYPERLINK("https://maxxton.atlassian.net/browse/QA-28996","QA-28996")</f>
        <v>QA-28996</v>
      </c>
      <c r="L19" s="19" t="s">
        <v>475</v>
      </c>
      <c r="M19" s="8" t="s">
        <v>172</v>
      </c>
    </row>
    <row r="20">
      <c r="A20" s="19" t="s">
        <v>789</v>
      </c>
      <c r="B20" s="19" t="s">
        <v>790</v>
      </c>
      <c r="C20" s="19" t="s">
        <v>95</v>
      </c>
      <c r="D20" s="14" t="s">
        <v>770</v>
      </c>
      <c r="E20" s="19" t="s">
        <v>756</v>
      </c>
      <c r="F20" s="19" t="s">
        <v>758</v>
      </c>
      <c r="G20" s="21"/>
      <c r="H20" s="19" t="s">
        <v>143</v>
      </c>
      <c r="I20" s="19" t="s">
        <v>95</v>
      </c>
      <c r="J20" s="19" t="s">
        <v>758</v>
      </c>
      <c r="K20" s="26" t="str">
        <f>HYPERLINK("https://maxxton.atlassian.net/browse/QA-28997","QA-28997")</f>
        <v>QA-28997</v>
      </c>
      <c r="L20" s="19" t="s">
        <v>475</v>
      </c>
      <c r="M20" s="8" t="s">
        <v>172</v>
      </c>
    </row>
    <row r="21">
      <c r="A21" s="19" t="s">
        <v>791</v>
      </c>
      <c r="B21" s="19" t="s">
        <v>792</v>
      </c>
      <c r="C21" s="19" t="s">
        <v>95</v>
      </c>
      <c r="D21" s="19" t="s">
        <v>773</v>
      </c>
      <c r="E21" s="19" t="s">
        <v>753</v>
      </c>
      <c r="F21" s="19" t="s">
        <v>757</v>
      </c>
      <c r="G21" s="21"/>
      <c r="H21" s="19" t="s">
        <v>143</v>
      </c>
      <c r="I21" s="19" t="s">
        <v>95</v>
      </c>
      <c r="J21" s="19" t="s">
        <v>757</v>
      </c>
      <c r="K21" s="26" t="str">
        <f>HYPERLINK("https://maxxton.atlassian.net/browse/QA-28998","QA-28998")</f>
        <v>QA-28998</v>
      </c>
      <c r="L21" s="19" t="s">
        <v>475</v>
      </c>
      <c r="M21" s="60" t="s">
        <v>793</v>
      </c>
      <c r="N21" s="8" t="s">
        <v>794</v>
      </c>
    </row>
    <row r="22">
      <c r="A22" s="19" t="s">
        <v>795</v>
      </c>
      <c r="B22" s="19" t="s">
        <v>796</v>
      </c>
      <c r="C22" s="19" t="s">
        <v>95</v>
      </c>
      <c r="D22" s="27" t="s">
        <v>755</v>
      </c>
      <c r="E22" s="19" t="s">
        <v>756</v>
      </c>
      <c r="F22" s="19" t="s">
        <v>758</v>
      </c>
      <c r="G22" s="21"/>
      <c r="H22" s="19" t="s">
        <v>143</v>
      </c>
      <c r="I22" s="19" t="s">
        <v>95</v>
      </c>
      <c r="J22" s="19" t="s">
        <v>757</v>
      </c>
      <c r="K22" s="26" t="str">
        <f>HYPERLINK("https://maxxton.atlassian.net/browse/QA-28999","QA-28999")</f>
        <v>QA-28999</v>
      </c>
      <c r="L22" s="19" t="s">
        <v>475</v>
      </c>
    </row>
    <row r="23">
      <c r="A23" s="19" t="s">
        <v>797</v>
      </c>
      <c r="B23" s="19" t="s">
        <v>798</v>
      </c>
      <c r="C23" s="19" t="s">
        <v>95</v>
      </c>
      <c r="D23" s="19" t="s">
        <v>798</v>
      </c>
      <c r="E23" s="19" t="s">
        <v>756</v>
      </c>
      <c r="F23" s="19" t="s">
        <v>757</v>
      </c>
      <c r="G23" s="21"/>
      <c r="H23" s="19" t="s">
        <v>143</v>
      </c>
      <c r="I23" s="19" t="s">
        <v>95</v>
      </c>
      <c r="J23" s="19" t="s">
        <v>757</v>
      </c>
      <c r="K23" s="21"/>
      <c r="L23" s="21"/>
    </row>
    <row r="24">
      <c r="A24" s="21"/>
      <c r="B24" s="21"/>
      <c r="C24" s="21"/>
      <c r="D24" s="21"/>
      <c r="E24" s="21"/>
      <c r="F24" s="21"/>
      <c r="G24" s="21"/>
      <c r="H24" s="21"/>
      <c r="I24" s="21"/>
      <c r="J24" s="21"/>
      <c r="K24" s="21"/>
      <c r="L24" s="21"/>
    </row>
    <row r="25">
      <c r="A25" s="21"/>
      <c r="B25" s="21"/>
      <c r="C25" s="21"/>
      <c r="D25" s="21"/>
      <c r="E25" s="21"/>
      <c r="F25" s="21"/>
      <c r="G25" s="21"/>
      <c r="H25" s="21"/>
      <c r="I25" s="21"/>
      <c r="J25" s="21"/>
      <c r="K25" s="21"/>
      <c r="L25" s="21"/>
    </row>
    <row r="26">
      <c r="A26" s="21"/>
      <c r="B26" s="21"/>
      <c r="C26" s="21"/>
      <c r="D26" s="21"/>
      <c r="E26" s="21"/>
      <c r="F26" s="21"/>
      <c r="G26" s="21"/>
      <c r="H26" s="21"/>
      <c r="I26" s="21"/>
      <c r="J26" s="21"/>
      <c r="K26" s="21"/>
      <c r="L26" s="21"/>
    </row>
    <row r="27">
      <c r="A27" s="21"/>
      <c r="B27" s="21"/>
      <c r="C27" s="21"/>
      <c r="D27" s="21"/>
      <c r="E27" s="21"/>
      <c r="F27" s="21"/>
      <c r="G27" s="21"/>
      <c r="H27" s="21"/>
      <c r="I27" s="21"/>
      <c r="J27" s="21"/>
      <c r="K27" s="21"/>
      <c r="L27" s="21"/>
    </row>
    <row r="28">
      <c r="A28" s="21"/>
      <c r="B28" s="21"/>
      <c r="C28" s="21"/>
      <c r="D28" s="21"/>
      <c r="E28" s="21"/>
      <c r="F28" s="21"/>
      <c r="G28" s="21"/>
      <c r="H28" s="21"/>
      <c r="I28" s="21"/>
      <c r="J28" s="21"/>
      <c r="K28" s="21"/>
      <c r="L28" s="21"/>
    </row>
    <row r="29">
      <c r="A29" s="21"/>
      <c r="B29" s="21"/>
      <c r="C29" s="21"/>
      <c r="D29" s="21"/>
      <c r="E29" s="21"/>
      <c r="F29" s="21"/>
      <c r="G29" s="21"/>
      <c r="H29" s="21"/>
      <c r="I29" s="21"/>
      <c r="J29" s="21"/>
      <c r="K29" s="21"/>
      <c r="L29" s="21"/>
    </row>
    <row r="30">
      <c r="A30" s="21"/>
      <c r="B30" s="21"/>
      <c r="C30" s="21"/>
      <c r="D30" s="21"/>
      <c r="E30" s="21"/>
      <c r="F30" s="21"/>
      <c r="G30" s="21"/>
      <c r="H30" s="21"/>
      <c r="I30" s="21"/>
      <c r="J30" s="21"/>
      <c r="K30" s="21"/>
      <c r="L30" s="21"/>
    </row>
    <row r="31">
      <c r="A31" s="21"/>
      <c r="B31" s="21"/>
      <c r="C31" s="21"/>
      <c r="D31" s="21"/>
      <c r="E31" s="21"/>
      <c r="F31" s="21"/>
      <c r="G31" s="21"/>
      <c r="H31" s="21"/>
      <c r="I31" s="21"/>
      <c r="J31" s="21"/>
      <c r="K31" s="21"/>
      <c r="L31" s="21"/>
    </row>
    <row r="32">
      <c r="A32" s="21"/>
      <c r="B32" s="21"/>
      <c r="C32" s="21"/>
      <c r="D32" s="21"/>
      <c r="E32" s="21"/>
      <c r="F32" s="21"/>
      <c r="G32" s="21"/>
      <c r="H32" s="21"/>
      <c r="I32" s="21"/>
      <c r="J32" s="21"/>
      <c r="K32" s="21"/>
      <c r="L32" s="21"/>
    </row>
    <row r="33">
      <c r="A33" s="21"/>
      <c r="B33" s="21"/>
      <c r="C33" s="21"/>
      <c r="D33" s="21"/>
      <c r="E33" s="21"/>
      <c r="F33" s="21"/>
      <c r="G33" s="21"/>
      <c r="H33" s="21"/>
      <c r="I33" s="21"/>
      <c r="J33" s="21"/>
      <c r="K33" s="21"/>
      <c r="L33" s="21"/>
    </row>
    <row r="34">
      <c r="A34" s="21"/>
      <c r="B34" s="21"/>
      <c r="C34" s="21"/>
      <c r="D34" s="21"/>
      <c r="E34" s="21"/>
      <c r="F34" s="21"/>
      <c r="G34" s="21"/>
      <c r="H34" s="21"/>
      <c r="I34" s="21"/>
      <c r="J34" s="21"/>
      <c r="K34" s="21"/>
      <c r="L34" s="21"/>
    </row>
    <row r="35">
      <c r="A35" s="21"/>
      <c r="B35" s="21"/>
      <c r="C35" s="21"/>
      <c r="D35" s="21"/>
      <c r="E35" s="21"/>
      <c r="F35" s="21"/>
      <c r="G35" s="21"/>
      <c r="H35" s="21"/>
      <c r="I35" s="21"/>
      <c r="J35" s="21"/>
      <c r="K35" s="21"/>
      <c r="L35" s="21"/>
    </row>
    <row r="36">
      <c r="A36" s="21"/>
      <c r="B36" s="21"/>
      <c r="C36" s="21"/>
      <c r="D36" s="21"/>
      <c r="E36" s="21"/>
      <c r="F36" s="21"/>
      <c r="G36" s="21"/>
      <c r="H36" s="21"/>
      <c r="I36" s="21"/>
      <c r="J36" s="21"/>
      <c r="K36" s="21"/>
      <c r="L36" s="21"/>
    </row>
    <row r="37">
      <c r="A37" s="21"/>
      <c r="B37" s="21"/>
      <c r="C37" s="21"/>
      <c r="D37" s="21"/>
      <c r="E37" s="21"/>
      <c r="F37" s="21"/>
      <c r="G37" s="21"/>
      <c r="H37" s="21"/>
      <c r="I37" s="21"/>
      <c r="J37" s="21"/>
      <c r="K37" s="21"/>
      <c r="L37" s="21"/>
    </row>
    <row r="38">
      <c r="A38" s="21"/>
      <c r="B38" s="21"/>
      <c r="C38" s="21"/>
      <c r="D38" s="21"/>
      <c r="E38" s="21"/>
      <c r="F38" s="21"/>
      <c r="G38" s="21"/>
      <c r="H38" s="21"/>
      <c r="I38" s="21"/>
      <c r="J38" s="21"/>
      <c r="K38" s="21"/>
      <c r="L38" s="21"/>
    </row>
    <row r="39">
      <c r="A39" s="21"/>
      <c r="B39" s="21"/>
      <c r="C39" s="21"/>
      <c r="D39" s="21"/>
      <c r="E39" s="21"/>
      <c r="F39" s="21"/>
      <c r="G39" s="21"/>
      <c r="H39" s="21"/>
      <c r="I39" s="21"/>
      <c r="J39" s="21"/>
      <c r="K39" s="21"/>
      <c r="L39" s="21"/>
    </row>
    <row r="40">
      <c r="A40" s="21"/>
      <c r="B40" s="21"/>
      <c r="C40" s="21"/>
      <c r="D40" s="21"/>
      <c r="E40" s="21"/>
      <c r="F40" s="21"/>
      <c r="G40" s="21"/>
      <c r="H40" s="21"/>
      <c r="I40" s="21"/>
      <c r="J40" s="21"/>
      <c r="K40" s="21"/>
      <c r="L40" s="21"/>
    </row>
    <row r="41">
      <c r="A41" s="21"/>
      <c r="B41" s="21"/>
      <c r="C41" s="21"/>
      <c r="D41" s="21"/>
      <c r="E41" s="21"/>
      <c r="F41" s="21"/>
      <c r="G41" s="21"/>
      <c r="H41" s="21"/>
      <c r="I41" s="21"/>
      <c r="J41" s="21"/>
      <c r="K41" s="21"/>
      <c r="L41" s="21"/>
    </row>
    <row r="42">
      <c r="A42" s="21"/>
      <c r="B42" s="21"/>
      <c r="C42" s="21"/>
      <c r="D42" s="21"/>
      <c r="E42" s="21"/>
      <c r="F42" s="21"/>
      <c r="G42" s="21"/>
      <c r="H42" s="21"/>
      <c r="I42" s="21"/>
      <c r="J42" s="21"/>
      <c r="K42" s="21"/>
      <c r="L42" s="21"/>
    </row>
    <row r="43">
      <c r="A43" s="21"/>
      <c r="B43" s="21"/>
      <c r="C43" s="21"/>
      <c r="D43" s="21"/>
      <c r="E43" s="21"/>
      <c r="F43" s="21"/>
      <c r="G43" s="21"/>
      <c r="H43" s="21"/>
      <c r="I43" s="21"/>
      <c r="J43" s="21"/>
      <c r="K43" s="21"/>
      <c r="L43" s="21"/>
    </row>
    <row r="44">
      <c r="A44" s="21"/>
      <c r="B44" s="21"/>
      <c r="C44" s="21"/>
      <c r="D44" s="21"/>
      <c r="E44" s="21"/>
      <c r="F44" s="21"/>
      <c r="G44" s="21"/>
      <c r="H44" s="21"/>
      <c r="I44" s="21"/>
      <c r="J44" s="21"/>
      <c r="K44" s="21"/>
      <c r="L44" s="21"/>
    </row>
    <row r="45">
      <c r="A45" s="21"/>
      <c r="B45" s="21"/>
      <c r="C45" s="21"/>
      <c r="D45" s="21"/>
      <c r="E45" s="21"/>
      <c r="F45" s="21"/>
      <c r="G45" s="21"/>
      <c r="H45" s="21"/>
      <c r="I45" s="21"/>
      <c r="J45" s="21"/>
      <c r="K45" s="21"/>
      <c r="L45" s="21"/>
    </row>
    <row r="46">
      <c r="A46" s="21"/>
      <c r="B46" s="21"/>
      <c r="C46" s="21"/>
      <c r="D46" s="21"/>
      <c r="E46" s="21"/>
      <c r="F46" s="21"/>
      <c r="G46" s="21"/>
      <c r="H46" s="21"/>
      <c r="I46" s="21"/>
      <c r="J46" s="21"/>
      <c r="K46" s="21"/>
      <c r="L46" s="21"/>
    </row>
    <row r="47">
      <c r="A47" s="21"/>
      <c r="B47" s="21"/>
      <c r="C47" s="21"/>
      <c r="D47" s="21"/>
      <c r="E47" s="21"/>
      <c r="F47" s="21"/>
      <c r="G47" s="21"/>
      <c r="H47" s="21"/>
      <c r="I47" s="21"/>
      <c r="J47" s="21"/>
      <c r="K47" s="21"/>
      <c r="L47" s="21"/>
    </row>
    <row r="48">
      <c r="A48" s="21"/>
      <c r="B48" s="21"/>
      <c r="C48" s="21"/>
      <c r="D48" s="21"/>
      <c r="E48" s="21"/>
      <c r="F48" s="21"/>
      <c r="G48" s="21"/>
      <c r="H48" s="21"/>
      <c r="I48" s="21"/>
      <c r="J48" s="21"/>
      <c r="K48" s="21"/>
      <c r="L48" s="21"/>
    </row>
    <row r="49">
      <c r="A49" s="21"/>
      <c r="B49" s="21"/>
      <c r="C49" s="21"/>
      <c r="D49" s="21"/>
      <c r="E49" s="21"/>
      <c r="F49" s="21"/>
      <c r="G49" s="21"/>
      <c r="H49" s="21"/>
      <c r="I49" s="21"/>
      <c r="J49" s="21"/>
      <c r="K49" s="21"/>
      <c r="L49" s="21"/>
    </row>
    <row r="50">
      <c r="A50" s="21"/>
      <c r="B50" s="21"/>
      <c r="C50" s="21"/>
      <c r="D50" s="21"/>
      <c r="E50" s="21"/>
      <c r="F50" s="21"/>
      <c r="G50" s="21"/>
      <c r="H50" s="21"/>
      <c r="I50" s="21"/>
      <c r="J50" s="21"/>
      <c r="K50" s="21"/>
      <c r="L50" s="21"/>
    </row>
    <row r="51">
      <c r="C51" s="24"/>
      <c r="F51" s="24"/>
      <c r="H51" s="24"/>
      <c r="I51" s="24"/>
      <c r="J51" s="24"/>
    </row>
    <row r="52">
      <c r="C52" s="24"/>
      <c r="F52" s="24"/>
      <c r="H52" s="24"/>
      <c r="I52" s="24"/>
      <c r="J52" s="24"/>
    </row>
    <row r="53">
      <c r="C53" s="24"/>
      <c r="F53" s="24"/>
      <c r="H53" s="24"/>
      <c r="I53" s="24"/>
      <c r="J53" s="24"/>
    </row>
    <row r="54">
      <c r="C54" s="24"/>
      <c r="F54" s="24"/>
      <c r="H54" s="24"/>
      <c r="I54" s="24"/>
      <c r="J54" s="24"/>
    </row>
    <row r="55">
      <c r="C55" s="24"/>
      <c r="F55" s="24"/>
      <c r="H55" s="24"/>
      <c r="I55" s="24"/>
      <c r="J55" s="24"/>
    </row>
    <row r="56">
      <c r="C56" s="24"/>
      <c r="F56" s="24"/>
      <c r="H56" s="24"/>
      <c r="I56" s="24"/>
      <c r="J56" s="24"/>
    </row>
    <row r="57">
      <c r="C57" s="24"/>
      <c r="F57" s="24"/>
      <c r="H57" s="24"/>
      <c r="I57" s="24"/>
      <c r="J57" s="24"/>
    </row>
    <row r="58">
      <c r="C58" s="24"/>
      <c r="F58" s="24"/>
      <c r="H58" s="24"/>
      <c r="I58" s="24"/>
      <c r="J58" s="24"/>
    </row>
    <row r="59">
      <c r="C59" s="24"/>
      <c r="F59" s="24"/>
      <c r="H59" s="24"/>
      <c r="I59" s="24"/>
      <c r="J59" s="24"/>
    </row>
    <row r="60">
      <c r="C60" s="24"/>
      <c r="F60" s="24"/>
      <c r="H60" s="24"/>
      <c r="I60" s="24"/>
      <c r="J60" s="24"/>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row r="988">
      <c r="C988" s="24"/>
      <c r="F988" s="24"/>
      <c r="H988" s="24"/>
      <c r="I988" s="24"/>
      <c r="J988" s="24"/>
    </row>
    <row r="989">
      <c r="C989" s="24"/>
      <c r="F989" s="24"/>
      <c r="H989" s="24"/>
      <c r="I989" s="24"/>
      <c r="J989" s="24"/>
    </row>
    <row r="990">
      <c r="C990" s="24"/>
      <c r="F990" s="24"/>
      <c r="H990" s="24"/>
      <c r="I990" s="24"/>
      <c r="J990" s="24"/>
    </row>
    <row r="991">
      <c r="C991" s="24"/>
      <c r="F991" s="24"/>
      <c r="H991" s="24"/>
      <c r="I991" s="24"/>
      <c r="J991" s="24"/>
    </row>
    <row r="992">
      <c r="C992" s="24"/>
      <c r="F992" s="24"/>
      <c r="H992" s="24"/>
      <c r="I992" s="24"/>
      <c r="J992" s="24"/>
    </row>
    <row r="993">
      <c r="C993" s="24"/>
      <c r="F993" s="24"/>
      <c r="H993" s="24"/>
      <c r="I993" s="24"/>
      <c r="J993" s="24"/>
    </row>
    <row r="994">
      <c r="C994" s="24"/>
      <c r="F994" s="24"/>
      <c r="H994" s="24"/>
      <c r="I994" s="24"/>
      <c r="J994" s="24"/>
    </row>
    <row r="995">
      <c r="C995" s="24"/>
      <c r="F995" s="24"/>
      <c r="H995" s="24"/>
      <c r="I995" s="24"/>
      <c r="J995" s="24"/>
    </row>
  </sheetData>
  <mergeCells count="1">
    <mergeCell ref="P1:Q1"/>
  </mergeCells>
  <conditionalFormatting sqref="H1:H995">
    <cfRule type="cellIs" dxfId="0" priority="1" operator="equal">
      <formula>"Y"</formula>
    </cfRule>
  </conditionalFormatting>
  <conditionalFormatting sqref="H1:H995">
    <cfRule type="containsText" dxfId="1" priority="2" operator="containsText" text="N">
      <formula>NOT(ISERROR(SEARCH(("N"),(H1))))</formula>
    </cfRule>
  </conditionalFormatting>
  <dataValidations>
    <dataValidation type="list" allowBlank="1" sqref="C7:C995 I7:I995">
      <formula1>"P1,P2,P3,P4,P5"</formula1>
    </dataValidation>
    <dataValidation type="list" allowBlank="1" sqref="F7:F995 J7:J995">
      <formula1>BaseData!$A$2:$A$53</formula1>
    </dataValidation>
    <dataValidation type="list" allowBlank="1" sqref="H7:H995">
      <formula1>"Y,N"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37.38"/>
  </cols>
  <sheetData>
    <row r="1">
      <c r="A1" s="8" t="s">
        <v>799</v>
      </c>
      <c r="B1" s="8" t="s">
        <v>800</v>
      </c>
    </row>
    <row r="2">
      <c r="A2" s="8" t="s">
        <v>337</v>
      </c>
      <c r="B2" s="8" t="s">
        <v>801</v>
      </c>
    </row>
    <row r="3">
      <c r="A3" s="8" t="s">
        <v>802</v>
      </c>
      <c r="B3" s="8" t="s">
        <v>803</v>
      </c>
    </row>
    <row r="4">
      <c r="A4" s="8" t="s">
        <v>804</v>
      </c>
      <c r="B4" s="8" t="s">
        <v>805</v>
      </c>
    </row>
    <row r="5">
      <c r="A5" s="8" t="s">
        <v>806</v>
      </c>
      <c r="B5" s="8" t="s">
        <v>807</v>
      </c>
    </row>
    <row r="6">
      <c r="A6" s="8" t="s">
        <v>173</v>
      </c>
      <c r="B6" s="8" t="s">
        <v>808</v>
      </c>
    </row>
    <row r="7">
      <c r="A7" s="8" t="s">
        <v>206</v>
      </c>
      <c r="B7" s="8" t="s">
        <v>809</v>
      </c>
    </row>
    <row r="8">
      <c r="A8" s="8" t="s">
        <v>491</v>
      </c>
      <c r="B8" s="8" t="s">
        <v>810</v>
      </c>
    </row>
    <row r="9">
      <c r="A9" s="8" t="s">
        <v>329</v>
      </c>
      <c r="B9" s="8" t="s">
        <v>811</v>
      </c>
    </row>
    <row r="10">
      <c r="A10" s="8" t="s">
        <v>758</v>
      </c>
      <c r="B10" s="8" t="s">
        <v>812</v>
      </c>
    </row>
    <row r="11">
      <c r="A11" s="8" t="s">
        <v>180</v>
      </c>
      <c r="B11" s="8" t="s">
        <v>813</v>
      </c>
    </row>
    <row r="12">
      <c r="A12" s="8" t="s">
        <v>814</v>
      </c>
      <c r="B12" s="8" t="s">
        <v>815</v>
      </c>
    </row>
    <row r="13">
      <c r="A13" s="8" t="s">
        <v>99</v>
      </c>
      <c r="B13" s="8" t="s">
        <v>816</v>
      </c>
    </row>
    <row r="14">
      <c r="A14" s="8" t="s">
        <v>817</v>
      </c>
      <c r="B14" s="8" t="s">
        <v>818</v>
      </c>
    </row>
    <row r="15">
      <c r="A15" s="8" t="s">
        <v>819</v>
      </c>
      <c r="B15" s="8" t="s">
        <v>820</v>
      </c>
    </row>
    <row r="16">
      <c r="A16" s="8" t="s">
        <v>296</v>
      </c>
      <c r="B16" s="8" t="s">
        <v>821</v>
      </c>
    </row>
    <row r="17">
      <c r="A17" s="8" t="s">
        <v>822</v>
      </c>
      <c r="B17" s="112" t="s">
        <v>823</v>
      </c>
    </row>
    <row r="18">
      <c r="A18" s="8" t="s">
        <v>824</v>
      </c>
      <c r="B18" s="8" t="s">
        <v>825</v>
      </c>
    </row>
    <row r="19">
      <c r="A19" s="8" t="s">
        <v>314</v>
      </c>
      <c r="B19" s="8" t="s">
        <v>826</v>
      </c>
    </row>
    <row r="20">
      <c r="A20" s="8" t="s">
        <v>492</v>
      </c>
      <c r="B20" s="8" t="s">
        <v>827</v>
      </c>
    </row>
    <row r="21">
      <c r="A21" s="8" t="s">
        <v>828</v>
      </c>
      <c r="B21" s="113" t="s">
        <v>829</v>
      </c>
    </row>
    <row r="22">
      <c r="A22" s="8" t="s">
        <v>830</v>
      </c>
      <c r="B22" s="8" t="s">
        <v>831</v>
      </c>
    </row>
    <row r="23">
      <c r="A23" s="8" t="s">
        <v>665</v>
      </c>
      <c r="B23" s="8" t="s">
        <v>832</v>
      </c>
    </row>
    <row r="24">
      <c r="A24" s="8" t="s">
        <v>709</v>
      </c>
      <c r="B24" s="8" t="s">
        <v>833</v>
      </c>
    </row>
    <row r="25">
      <c r="A25" s="8" t="s">
        <v>720</v>
      </c>
      <c r="B25" s="8" t="s">
        <v>834</v>
      </c>
    </row>
    <row r="26">
      <c r="A26" s="8" t="s">
        <v>641</v>
      </c>
      <c r="B26" s="8" t="s">
        <v>835</v>
      </c>
    </row>
    <row r="27">
      <c r="A27" s="8" t="s">
        <v>96</v>
      </c>
      <c r="B27" s="8" t="s">
        <v>836</v>
      </c>
    </row>
    <row r="28">
      <c r="A28" s="8" t="s">
        <v>837</v>
      </c>
      <c r="B28" s="8" t="s">
        <v>838</v>
      </c>
    </row>
    <row r="29">
      <c r="A29" s="8" t="s">
        <v>839</v>
      </c>
      <c r="B29" s="8" t="s">
        <v>840</v>
      </c>
    </row>
    <row r="30">
      <c r="A30" s="8" t="s">
        <v>474</v>
      </c>
      <c r="B30" s="8" t="s">
        <v>841</v>
      </c>
    </row>
    <row r="31">
      <c r="A31" s="8" t="s">
        <v>259</v>
      </c>
      <c r="B31" s="8" t="s">
        <v>842</v>
      </c>
    </row>
    <row r="32">
      <c r="A32" s="8" t="s">
        <v>843</v>
      </c>
      <c r="B32" s="8" t="s">
        <v>844</v>
      </c>
    </row>
    <row r="33">
      <c r="A33" s="8" t="s">
        <v>845</v>
      </c>
      <c r="B33" s="8" t="s">
        <v>846</v>
      </c>
    </row>
    <row r="34">
      <c r="A34" s="8" t="s">
        <v>664</v>
      </c>
      <c r="B34" s="112" t="s">
        <v>847</v>
      </c>
    </row>
    <row r="35">
      <c r="A35" s="8" t="s">
        <v>848</v>
      </c>
      <c r="B35" s="112" t="s">
        <v>849</v>
      </c>
    </row>
    <row r="36">
      <c r="A36" s="8" t="s">
        <v>109</v>
      </c>
      <c r="B36" s="112" t="s">
        <v>850</v>
      </c>
    </row>
    <row r="37">
      <c r="A37" s="8" t="s">
        <v>851</v>
      </c>
      <c r="B37" s="8" t="s">
        <v>852</v>
      </c>
    </row>
    <row r="38">
      <c r="A38" s="8" t="s">
        <v>712</v>
      </c>
      <c r="B38" s="8" t="s">
        <v>853</v>
      </c>
    </row>
    <row r="39">
      <c r="A39" s="8" t="s">
        <v>854</v>
      </c>
      <c r="B39" s="8" t="s">
        <v>855</v>
      </c>
    </row>
    <row r="40">
      <c r="A40" s="8" t="s">
        <v>856</v>
      </c>
      <c r="B40" s="8" t="s">
        <v>857</v>
      </c>
    </row>
    <row r="41">
      <c r="A41" s="8" t="s">
        <v>858</v>
      </c>
      <c r="B41" s="8" t="s">
        <v>859</v>
      </c>
    </row>
    <row r="42">
      <c r="A42" s="8" t="s">
        <v>757</v>
      </c>
      <c r="B42" s="8" t="s">
        <v>860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39.38"/>
    <col customWidth="1" min="3" max="3" width="7.25"/>
    <col customWidth="1" min="4" max="4" width="27.0"/>
    <col customWidth="1" min="5" max="5" width="9.13"/>
    <col customWidth="1" min="6" max="6" width="18.63"/>
    <col customWidth="1" min="7" max="7" width="8.75"/>
    <col customWidth="1" min="8" max="8" width="11.0"/>
    <col customWidth="1" min="9" max="9" width="9.75"/>
    <col customWidth="1" min="10" max="10" width="12.63"/>
    <col customWidth="1" min="11" max="11" width="10.88"/>
    <col customWidth="1" min="12" max="12" width="44.25"/>
    <col customWidth="1" min="13" max="13" width="19.88"/>
    <col customWidth="1" min="14" max="14" width="24.5"/>
    <col customWidth="1" min="15" max="15" width="24.88"/>
    <col customWidth="1" min="16" max="16" width="5.75"/>
    <col customWidth="1" min="17" max="17" width="23.25"/>
  </cols>
  <sheetData>
    <row r="1">
      <c r="J1" s="8"/>
      <c r="O1" s="105"/>
      <c r="P1" s="105"/>
    </row>
    <row r="2">
      <c r="A2" s="8"/>
      <c r="B2" s="8"/>
      <c r="E2" s="8"/>
      <c r="F2" s="12" t="s">
        <v>25</v>
      </c>
      <c r="G2" s="1">
        <f>countifs(A:A,"&lt;&gt;NEW",A:A,"&lt;&gt;")-1</f>
        <v>26</v>
      </c>
      <c r="I2" s="8"/>
      <c r="J2" s="8"/>
      <c r="O2" s="44"/>
      <c r="P2" s="44"/>
      <c r="Q2" s="44"/>
    </row>
    <row r="3">
      <c r="A3" s="8"/>
      <c r="B3" s="8"/>
      <c r="D3" s="16"/>
      <c r="E3" s="8"/>
      <c r="F3" s="17" t="s">
        <v>41</v>
      </c>
      <c r="G3" s="18">
        <f>countif(H:H,"=Y")</f>
        <v>21</v>
      </c>
      <c r="H3" s="8"/>
      <c r="I3" s="8"/>
      <c r="J3" s="8"/>
      <c r="O3" s="44"/>
      <c r="P3" s="44"/>
      <c r="Q3" s="44"/>
    </row>
    <row r="4">
      <c r="A4" s="8"/>
      <c r="B4" s="8"/>
      <c r="E4" s="8"/>
      <c r="F4" s="17" t="s">
        <v>45</v>
      </c>
      <c r="G4" s="18">
        <f>COUNTIF(A:A,"=NEW")</f>
        <v>1</v>
      </c>
      <c r="H4" s="8"/>
      <c r="I4" s="8"/>
      <c r="J4" s="8"/>
      <c r="O4" s="44"/>
      <c r="P4" s="44"/>
      <c r="Q4" s="44"/>
    </row>
    <row r="5">
      <c r="A5" s="8"/>
      <c r="B5" s="8"/>
      <c r="C5" s="8"/>
      <c r="D5" s="8"/>
      <c r="E5" s="8"/>
      <c r="F5" s="8"/>
      <c r="G5" s="8"/>
      <c r="H5" s="8"/>
      <c r="I5" s="8"/>
      <c r="J5" s="8"/>
      <c r="N5" s="114"/>
      <c r="O5" s="44"/>
      <c r="P5" s="44"/>
      <c r="Q5" s="44"/>
    </row>
    <row r="6">
      <c r="A6" s="1" t="s">
        <v>52</v>
      </c>
      <c r="B6" s="1" t="s">
        <v>53</v>
      </c>
      <c r="C6" s="1" t="s">
        <v>54</v>
      </c>
      <c r="D6" s="1" t="s">
        <v>55</v>
      </c>
      <c r="E6" s="1" t="s">
        <v>56</v>
      </c>
      <c r="F6" s="1" t="s">
        <v>57</v>
      </c>
      <c r="G6" s="1" t="s">
        <v>58</v>
      </c>
      <c r="H6" s="18" t="s">
        <v>59</v>
      </c>
      <c r="I6" s="18" t="s">
        <v>60</v>
      </c>
      <c r="J6" s="18" t="s">
        <v>61</v>
      </c>
      <c r="K6" s="18" t="s">
        <v>62</v>
      </c>
      <c r="L6" s="18" t="s">
        <v>63</v>
      </c>
      <c r="M6" s="96" t="s">
        <v>164</v>
      </c>
      <c r="N6" s="115" t="s">
        <v>165</v>
      </c>
      <c r="O6" s="116"/>
      <c r="P6" s="44"/>
      <c r="Q6" s="44"/>
    </row>
    <row r="7">
      <c r="A7" s="45" t="str">
        <f>HYPERLINK("https://maxxton.atlassian.net/browse/QA-20678","QA-20678")</f>
        <v>QA-20678</v>
      </c>
      <c r="B7" s="38" t="s">
        <v>861</v>
      </c>
      <c r="C7" s="38" t="s">
        <v>95</v>
      </c>
      <c r="D7" s="38" t="s">
        <v>862</v>
      </c>
      <c r="E7" s="117" t="s">
        <v>863</v>
      </c>
      <c r="F7" s="38" t="s">
        <v>99</v>
      </c>
      <c r="G7" s="118" t="s">
        <v>179</v>
      </c>
      <c r="H7" s="119" t="s">
        <v>143</v>
      </c>
      <c r="I7" s="38" t="s">
        <v>95</v>
      </c>
      <c r="J7" s="38" t="s">
        <v>99</v>
      </c>
      <c r="K7" s="45" t="str">
        <f>HYPERLINK("https://maxxton.atlassian.net/browse/QA-28885","QA-28885")</f>
        <v>QA-28885</v>
      </c>
      <c r="L7" s="37" t="s">
        <v>642</v>
      </c>
      <c r="M7" s="120" t="s">
        <v>179</v>
      </c>
      <c r="N7" s="121" t="s">
        <v>179</v>
      </c>
      <c r="O7" s="122"/>
      <c r="P7" s="123"/>
      <c r="Q7" s="123"/>
      <c r="R7" s="123"/>
      <c r="S7" s="123"/>
      <c r="T7" s="123"/>
      <c r="U7" s="123"/>
      <c r="V7" s="123"/>
      <c r="W7" s="123"/>
      <c r="X7" s="123"/>
      <c r="Y7" s="123"/>
      <c r="Z7" s="123"/>
      <c r="AA7" s="123"/>
      <c r="AB7" s="123"/>
      <c r="AC7" s="123"/>
      <c r="AD7" s="123"/>
    </row>
    <row r="8">
      <c r="A8" s="45" t="str">
        <f>HYPERLINK("https://maxxton.atlassian.net/browse/QA-16542","QA-16542")</f>
        <v>QA-16542</v>
      </c>
      <c r="B8" s="37" t="s">
        <v>864</v>
      </c>
      <c r="C8" s="38" t="s">
        <v>95</v>
      </c>
      <c r="D8" s="38" t="s">
        <v>862</v>
      </c>
      <c r="E8" s="117" t="s">
        <v>863</v>
      </c>
      <c r="F8" s="38" t="s">
        <v>99</v>
      </c>
      <c r="G8" s="118" t="s">
        <v>179</v>
      </c>
      <c r="H8" s="124" t="s">
        <v>143</v>
      </c>
      <c r="I8" s="38" t="s">
        <v>95</v>
      </c>
      <c r="J8" s="38" t="s">
        <v>99</v>
      </c>
      <c r="K8" s="45" t="str">
        <f>HYPERLINK("https://maxxton.atlassian.net/browse/QA-28886","QA-28886")</f>
        <v>QA-28886</v>
      </c>
      <c r="L8" s="37" t="s">
        <v>642</v>
      </c>
      <c r="M8" s="120" t="s">
        <v>179</v>
      </c>
      <c r="N8" s="121" t="s">
        <v>199</v>
      </c>
      <c r="O8" s="122"/>
      <c r="P8" s="123"/>
      <c r="Q8" s="123"/>
      <c r="R8" s="123"/>
      <c r="S8" s="123"/>
      <c r="T8" s="123"/>
      <c r="U8" s="123"/>
      <c r="V8" s="123"/>
      <c r="W8" s="123"/>
      <c r="X8" s="123"/>
      <c r="Y8" s="123"/>
      <c r="Z8" s="123"/>
      <c r="AA8" s="123"/>
      <c r="AB8" s="123"/>
      <c r="AC8" s="123"/>
      <c r="AD8" s="123"/>
    </row>
    <row r="9">
      <c r="A9" s="25" t="str">
        <f>HYPERLINK("https://maxxton.atlassian.net/browse/QA-16543","QA-16543")</f>
        <v>QA-16543</v>
      </c>
      <c r="B9" s="19" t="s">
        <v>865</v>
      </c>
      <c r="C9" s="19" t="s">
        <v>95</v>
      </c>
      <c r="D9" s="19" t="s">
        <v>862</v>
      </c>
      <c r="E9" s="125" t="s">
        <v>863</v>
      </c>
      <c r="F9" s="19" t="s">
        <v>99</v>
      </c>
      <c r="G9" s="8" t="s">
        <v>231</v>
      </c>
      <c r="H9" s="19" t="s">
        <v>143</v>
      </c>
      <c r="I9" s="19" t="s">
        <v>95</v>
      </c>
      <c r="J9" s="19" t="s">
        <v>851</v>
      </c>
      <c r="K9" s="25" t="str">
        <f>HYPERLINK("https://maxxton.atlassian.net/browse/QA-28887","QA-28887")</f>
        <v>QA-28887</v>
      </c>
      <c r="L9" s="19" t="s">
        <v>642</v>
      </c>
      <c r="M9" s="126" t="s">
        <v>231</v>
      </c>
      <c r="N9" s="127" t="s">
        <v>231</v>
      </c>
      <c r="O9" s="116"/>
      <c r="P9" s="20"/>
      <c r="Q9" s="20"/>
    </row>
    <row r="10">
      <c r="A10" s="45" t="str">
        <f>HYPERLINK("https://maxxton.atlassian.net/browse/QA-16547","QA-16547")</f>
        <v>QA-16547</v>
      </c>
      <c r="B10" s="38" t="s">
        <v>866</v>
      </c>
      <c r="C10" s="38" t="s">
        <v>95</v>
      </c>
      <c r="D10" s="38" t="s">
        <v>867</v>
      </c>
      <c r="E10" s="117" t="s">
        <v>863</v>
      </c>
      <c r="F10" s="37" t="s">
        <v>99</v>
      </c>
      <c r="G10" s="118" t="s">
        <v>179</v>
      </c>
      <c r="H10" s="124" t="s">
        <v>143</v>
      </c>
      <c r="I10" s="38" t="s">
        <v>95</v>
      </c>
      <c r="J10" s="38" t="s">
        <v>99</v>
      </c>
      <c r="K10" s="45" t="str">
        <f>HYPERLINK("https://maxxton.atlassian.net/browse/QA-28888","QA-28888")</f>
        <v>QA-28888</v>
      </c>
      <c r="L10" s="37" t="s">
        <v>642</v>
      </c>
      <c r="M10" s="120" t="s">
        <v>179</v>
      </c>
      <c r="N10" s="121" t="s">
        <v>179</v>
      </c>
      <c r="O10" s="121"/>
      <c r="P10" s="123"/>
      <c r="Q10" s="123"/>
      <c r="R10" s="123"/>
      <c r="S10" s="123"/>
      <c r="T10" s="123"/>
      <c r="U10" s="123"/>
      <c r="V10" s="123"/>
      <c r="W10" s="123"/>
      <c r="X10" s="123"/>
      <c r="Y10" s="123"/>
      <c r="Z10" s="123"/>
      <c r="AA10" s="123"/>
      <c r="AB10" s="123"/>
      <c r="AC10" s="123"/>
      <c r="AD10" s="123"/>
    </row>
    <row r="11">
      <c r="A11" s="25" t="str">
        <f>HYPERLINK("https://maxxton.atlassian.net/browse/QA-16550","QA-16550")</f>
        <v>QA-16550</v>
      </c>
      <c r="B11" s="19" t="s">
        <v>868</v>
      </c>
      <c r="C11" s="19" t="s">
        <v>95</v>
      </c>
      <c r="D11" s="19" t="s">
        <v>867</v>
      </c>
      <c r="E11" s="125" t="s">
        <v>863</v>
      </c>
      <c r="F11" s="19" t="s">
        <v>99</v>
      </c>
      <c r="G11" s="8" t="s">
        <v>225</v>
      </c>
      <c r="H11" s="19" t="s">
        <v>143</v>
      </c>
      <c r="I11" s="19" t="s">
        <v>95</v>
      </c>
      <c r="J11" s="19" t="s">
        <v>851</v>
      </c>
      <c r="K11" s="25" t="str">
        <f>HYPERLINK("https://maxxton.atlassian.net/browse/QA-28889","QA-28889")</f>
        <v>QA-28889</v>
      </c>
      <c r="L11" s="19" t="s">
        <v>642</v>
      </c>
      <c r="M11" s="126" t="s">
        <v>225</v>
      </c>
      <c r="N11" s="127" t="s">
        <v>225</v>
      </c>
      <c r="O11" s="116"/>
      <c r="P11" s="20"/>
      <c r="Q11" s="20"/>
    </row>
    <row r="12">
      <c r="A12" s="45" t="str">
        <f>HYPERLINK("https://maxxton.atlassian.net/browse/QA-16548","QA-16548")</f>
        <v>QA-16548</v>
      </c>
      <c r="B12" s="38" t="s">
        <v>869</v>
      </c>
      <c r="C12" s="38" t="s">
        <v>95</v>
      </c>
      <c r="D12" s="38" t="s">
        <v>867</v>
      </c>
      <c r="E12" s="117" t="s">
        <v>863</v>
      </c>
      <c r="F12" s="37" t="s">
        <v>99</v>
      </c>
      <c r="G12" s="118" t="s">
        <v>179</v>
      </c>
      <c r="H12" s="119" t="s">
        <v>143</v>
      </c>
      <c r="I12" s="38" t="s">
        <v>95</v>
      </c>
      <c r="J12" s="37" t="s">
        <v>851</v>
      </c>
      <c r="K12" s="45" t="str">
        <f>HYPERLINK("https://maxxton.atlassian.net/browse/QA-28890","QA-28890")</f>
        <v>QA-28890</v>
      </c>
      <c r="L12" s="37" t="s">
        <v>642</v>
      </c>
      <c r="M12" s="120" t="s">
        <v>179</v>
      </c>
      <c r="N12" s="121" t="s">
        <v>179</v>
      </c>
      <c r="O12" s="121"/>
      <c r="P12" s="123"/>
      <c r="Q12" s="123"/>
      <c r="R12" s="123"/>
      <c r="S12" s="123"/>
      <c r="T12" s="123"/>
      <c r="U12" s="123"/>
      <c r="V12" s="123"/>
      <c r="W12" s="123"/>
      <c r="X12" s="123"/>
      <c r="Y12" s="123"/>
      <c r="Z12" s="123"/>
      <c r="AA12" s="123"/>
      <c r="AB12" s="123"/>
      <c r="AC12" s="123"/>
      <c r="AD12" s="123"/>
    </row>
    <row r="13">
      <c r="A13" s="25" t="str">
        <f>HYPERLINK("https://maxxton.atlassian.net/browse/QA-16551","QA-16551")</f>
        <v>QA-16551</v>
      </c>
      <c r="B13" s="19" t="s">
        <v>870</v>
      </c>
      <c r="C13" s="19" t="s">
        <v>95</v>
      </c>
      <c r="D13" s="19" t="s">
        <v>867</v>
      </c>
      <c r="E13" s="125" t="s">
        <v>863</v>
      </c>
      <c r="F13" s="19" t="s">
        <v>99</v>
      </c>
      <c r="G13" s="8" t="s">
        <v>179</v>
      </c>
      <c r="H13" s="19" t="s">
        <v>143</v>
      </c>
      <c r="I13" s="19" t="s">
        <v>95</v>
      </c>
      <c r="J13" s="19" t="s">
        <v>851</v>
      </c>
      <c r="K13" s="25" t="str">
        <f>HYPERLINK("https://maxxton.atlassian.net/browse/QA-28891","QA-28891")</f>
        <v>QA-28891</v>
      </c>
      <c r="L13" s="19" t="s">
        <v>642</v>
      </c>
      <c r="M13" s="126" t="s">
        <v>179</v>
      </c>
      <c r="N13" s="127" t="s">
        <v>179</v>
      </c>
      <c r="O13" s="116"/>
      <c r="P13" s="20"/>
      <c r="Q13" s="20"/>
    </row>
    <row r="14">
      <c r="A14" s="25" t="str">
        <f>HYPERLINK("https://maxxton.atlassian.net/browse/QA-16544","QA-16544")</f>
        <v>QA-16544</v>
      </c>
      <c r="B14" s="19" t="s">
        <v>871</v>
      </c>
      <c r="C14" s="19" t="s">
        <v>95</v>
      </c>
      <c r="D14" s="19" t="s">
        <v>862</v>
      </c>
      <c r="E14" s="125" t="s">
        <v>863</v>
      </c>
      <c r="F14" s="19" t="s">
        <v>99</v>
      </c>
      <c r="G14" s="8" t="s">
        <v>179</v>
      </c>
      <c r="H14" s="19" t="s">
        <v>143</v>
      </c>
      <c r="I14" s="19" t="s">
        <v>95</v>
      </c>
      <c r="J14" s="19" t="s">
        <v>99</v>
      </c>
      <c r="K14" s="25" t="str">
        <f>HYPERLINK("https://maxxton.atlassian.net/browse/QA-28892","QA-28892")</f>
        <v>QA-28892</v>
      </c>
      <c r="L14" s="19" t="s">
        <v>642</v>
      </c>
      <c r="M14" s="126" t="s">
        <v>179</v>
      </c>
      <c r="N14" s="127" t="s">
        <v>179</v>
      </c>
      <c r="O14" s="116"/>
      <c r="P14" s="20"/>
      <c r="Q14" s="20"/>
    </row>
    <row r="15">
      <c r="A15" s="25" t="str">
        <f>HYPERLINK("https://maxxton.atlassian.net/browse/QA-16545","QA-16545")</f>
        <v>QA-16545</v>
      </c>
      <c r="B15" s="19" t="s">
        <v>872</v>
      </c>
      <c r="C15" s="19" t="s">
        <v>95</v>
      </c>
      <c r="D15" s="19" t="s">
        <v>862</v>
      </c>
      <c r="E15" s="125" t="s">
        <v>863</v>
      </c>
      <c r="F15" s="19" t="s">
        <v>99</v>
      </c>
      <c r="G15" s="8" t="s">
        <v>479</v>
      </c>
      <c r="H15" s="19" t="s">
        <v>143</v>
      </c>
      <c r="I15" s="19" t="s">
        <v>95</v>
      </c>
      <c r="J15" s="19" t="s">
        <v>851</v>
      </c>
      <c r="K15" s="25" t="str">
        <f>HYPERLINK("https://maxxton.atlassian.net/browse/QA-28893","QA-28893")</f>
        <v>QA-28893</v>
      </c>
      <c r="L15" s="19" t="s">
        <v>642</v>
      </c>
      <c r="M15" s="126" t="s">
        <v>479</v>
      </c>
      <c r="N15" s="127" t="s">
        <v>479</v>
      </c>
      <c r="O15" s="116"/>
      <c r="P15" s="20"/>
      <c r="Q15" s="20"/>
    </row>
    <row r="16">
      <c r="A16" s="25" t="str">
        <f>HYPERLINK("https://maxxton.atlassian.net/browse/QA-19114","QA-19114")</f>
        <v>QA-19114</v>
      </c>
      <c r="B16" s="19" t="s">
        <v>873</v>
      </c>
      <c r="C16" s="19" t="s">
        <v>95</v>
      </c>
      <c r="D16" s="19" t="s">
        <v>862</v>
      </c>
      <c r="E16" s="125" t="s">
        <v>863</v>
      </c>
      <c r="F16" s="19" t="s">
        <v>99</v>
      </c>
      <c r="G16" s="8" t="s">
        <v>179</v>
      </c>
      <c r="H16" s="19" t="s">
        <v>143</v>
      </c>
      <c r="I16" s="19" t="s">
        <v>95</v>
      </c>
      <c r="J16" s="19" t="s">
        <v>99</v>
      </c>
      <c r="K16" s="26" t="str">
        <f>HYPERLINK("https://maxxton.atlassian.net/browse/QA-28894","QA-28894")</f>
        <v>QA-28894</v>
      </c>
      <c r="L16" s="19" t="s">
        <v>642</v>
      </c>
      <c r="M16" s="126" t="s">
        <v>179</v>
      </c>
      <c r="N16" s="127" t="s">
        <v>179</v>
      </c>
      <c r="O16" s="116"/>
      <c r="P16" s="20"/>
      <c r="Q16" s="20"/>
    </row>
    <row r="17">
      <c r="A17" s="25" t="str">
        <f>HYPERLINK("https://maxxton.atlassian.net/browse/QA-19115","QA-19115")</f>
        <v>QA-19115</v>
      </c>
      <c r="B17" s="19" t="s">
        <v>874</v>
      </c>
      <c r="C17" s="19" t="s">
        <v>95</v>
      </c>
      <c r="D17" s="19" t="s">
        <v>862</v>
      </c>
      <c r="E17" s="125" t="s">
        <v>863</v>
      </c>
      <c r="F17" s="19" t="s">
        <v>99</v>
      </c>
      <c r="G17" s="8" t="s">
        <v>199</v>
      </c>
      <c r="H17" s="19" t="s">
        <v>143</v>
      </c>
      <c r="I17" s="19" t="s">
        <v>95</v>
      </c>
      <c r="J17" s="19" t="s">
        <v>99</v>
      </c>
      <c r="K17" s="26" t="str">
        <f>HYPERLINK("https://maxxton.atlassian.net/browse/QA-28895","QA-28895")</f>
        <v>QA-28895</v>
      </c>
      <c r="L17" s="19" t="s">
        <v>642</v>
      </c>
      <c r="M17" s="126" t="s">
        <v>199</v>
      </c>
      <c r="N17" s="127" t="s">
        <v>199</v>
      </c>
      <c r="O17" s="116"/>
      <c r="P17" s="20"/>
      <c r="Q17" s="20"/>
    </row>
    <row r="18">
      <c r="A18" s="25" t="str">
        <f>HYPERLINK("https://maxxton.atlassian.net/browse/QA-19116","QA-19116")</f>
        <v>QA-19116</v>
      </c>
      <c r="B18" s="19" t="s">
        <v>875</v>
      </c>
      <c r="C18" s="19" t="s">
        <v>95</v>
      </c>
      <c r="D18" s="19" t="s">
        <v>862</v>
      </c>
      <c r="E18" s="125" t="s">
        <v>863</v>
      </c>
      <c r="F18" s="19" t="s">
        <v>99</v>
      </c>
      <c r="G18" s="8" t="s">
        <v>225</v>
      </c>
      <c r="H18" s="19" t="s">
        <v>143</v>
      </c>
      <c r="I18" s="19" t="s">
        <v>95</v>
      </c>
      <c r="J18" s="19" t="s">
        <v>851</v>
      </c>
      <c r="K18" s="26" t="str">
        <f>HYPERLINK("https://maxxton.atlassian.net/browse/QA-28896","QA-28896")</f>
        <v>QA-28896</v>
      </c>
      <c r="L18" s="19" t="s">
        <v>642</v>
      </c>
      <c r="M18" s="126" t="s">
        <v>225</v>
      </c>
      <c r="N18" s="127" t="s">
        <v>225</v>
      </c>
      <c r="O18" s="116"/>
      <c r="P18" s="20"/>
      <c r="Q18" s="20"/>
    </row>
    <row r="19">
      <c r="A19" s="25" t="str">
        <f>HYPERLINK("https://maxxton.atlassian.net/browse/QA-22641","QA-22641")</f>
        <v>QA-22641</v>
      </c>
      <c r="B19" s="19" t="s">
        <v>876</v>
      </c>
      <c r="C19" s="19" t="s">
        <v>95</v>
      </c>
      <c r="D19" s="19" t="s">
        <v>862</v>
      </c>
      <c r="E19" s="125" t="s">
        <v>863</v>
      </c>
      <c r="F19" s="19" t="s">
        <v>99</v>
      </c>
      <c r="G19" s="8" t="s">
        <v>199</v>
      </c>
      <c r="H19" s="19" t="s">
        <v>143</v>
      </c>
      <c r="I19" s="19" t="s">
        <v>95</v>
      </c>
      <c r="J19" s="19" t="s">
        <v>851</v>
      </c>
      <c r="K19" s="26" t="str">
        <f>HYPERLINK("https://maxxton.atlassian.net/browse/QA-28897","QA-28897")</f>
        <v>QA-28897</v>
      </c>
      <c r="L19" s="19" t="s">
        <v>642</v>
      </c>
      <c r="M19" s="126" t="s">
        <v>199</v>
      </c>
      <c r="N19" s="126" t="s">
        <v>199</v>
      </c>
    </row>
    <row r="20">
      <c r="A20" s="25" t="str">
        <f>HYPERLINK("https://maxxton.atlassian.net/browse/QA-16549","QA-16549")</f>
        <v>QA-16549</v>
      </c>
      <c r="B20" s="19" t="s">
        <v>877</v>
      </c>
      <c r="C20" s="19" t="s">
        <v>95</v>
      </c>
      <c r="D20" s="19" t="s">
        <v>867</v>
      </c>
      <c r="E20" s="125" t="s">
        <v>863</v>
      </c>
      <c r="F20" s="19" t="s">
        <v>99</v>
      </c>
      <c r="G20" s="8" t="s">
        <v>479</v>
      </c>
      <c r="H20" s="19" t="s">
        <v>143</v>
      </c>
      <c r="I20" s="19" t="s">
        <v>95</v>
      </c>
      <c r="J20" s="19" t="s">
        <v>851</v>
      </c>
      <c r="K20" s="25" t="str">
        <f>HYPERLINK("https://maxxton.atlassian.net/browse/QA-28898","QA-28898")</f>
        <v>QA-28898</v>
      </c>
      <c r="L20" s="19" t="s">
        <v>642</v>
      </c>
      <c r="M20" s="126" t="s">
        <v>479</v>
      </c>
      <c r="N20" s="127" t="s">
        <v>479</v>
      </c>
      <c r="O20" s="116"/>
      <c r="P20" s="20"/>
      <c r="Q20" s="20"/>
    </row>
    <row r="21">
      <c r="A21" s="25" t="str">
        <f>HYPERLINK("https://maxxton.atlassian.net/browse/QA-16546","QA-16546")</f>
        <v>QA-16546</v>
      </c>
      <c r="B21" s="19" t="s">
        <v>878</v>
      </c>
      <c r="C21" s="19" t="s">
        <v>95</v>
      </c>
      <c r="D21" s="19" t="s">
        <v>862</v>
      </c>
      <c r="E21" s="125" t="s">
        <v>863</v>
      </c>
      <c r="F21" s="19" t="s">
        <v>99</v>
      </c>
      <c r="G21" s="8" t="s">
        <v>187</v>
      </c>
      <c r="H21" s="19" t="s">
        <v>143</v>
      </c>
      <c r="I21" s="19" t="s">
        <v>95</v>
      </c>
      <c r="J21" s="19" t="s">
        <v>99</v>
      </c>
      <c r="K21" s="26" t="str">
        <f>HYPERLINK("https://maxxton.atlassian.net/browse/QA-28899","QA-28899")</f>
        <v>QA-28899</v>
      </c>
      <c r="L21" s="19" t="s">
        <v>642</v>
      </c>
      <c r="M21" s="126" t="s">
        <v>187</v>
      </c>
      <c r="N21" s="127" t="s">
        <v>187</v>
      </c>
      <c r="O21" s="116"/>
      <c r="P21" s="20"/>
      <c r="Q21" s="20"/>
    </row>
    <row r="22">
      <c r="A22" s="25" t="str">
        <f>HYPERLINK("https://maxxton.atlassian.net/browse/QA-20872","QA-20872")</f>
        <v>QA-20872</v>
      </c>
      <c r="B22" s="19" t="s">
        <v>879</v>
      </c>
      <c r="C22" s="19" t="s">
        <v>95</v>
      </c>
      <c r="D22" s="19" t="s">
        <v>867</v>
      </c>
      <c r="E22" s="125" t="s">
        <v>863</v>
      </c>
      <c r="F22" s="19" t="s">
        <v>99</v>
      </c>
      <c r="G22" s="8" t="s">
        <v>231</v>
      </c>
      <c r="H22" s="19" t="s">
        <v>143</v>
      </c>
      <c r="I22" s="19" t="s">
        <v>95</v>
      </c>
      <c r="J22" s="19" t="s">
        <v>851</v>
      </c>
      <c r="K22" s="26" t="str">
        <f>HYPERLINK("https://maxxton.atlassian.net/browse/QA-28900","QA-28900")</f>
        <v>QA-28900</v>
      </c>
      <c r="L22" s="19" t="s">
        <v>642</v>
      </c>
      <c r="M22" s="126" t="s">
        <v>231</v>
      </c>
      <c r="N22" s="127" t="s">
        <v>231</v>
      </c>
      <c r="O22" s="116"/>
      <c r="P22" s="20"/>
      <c r="Q22" s="20"/>
    </row>
    <row r="23">
      <c r="A23" s="25" t="str">
        <f>HYPERLINK("https://maxxton.atlassian.net/browse/QA-16553","QA-16553")</f>
        <v>QA-16553</v>
      </c>
      <c r="B23" s="19" t="s">
        <v>880</v>
      </c>
      <c r="C23" s="19" t="s">
        <v>95</v>
      </c>
      <c r="D23" s="35" t="s">
        <v>862</v>
      </c>
      <c r="E23" s="125" t="s">
        <v>863</v>
      </c>
      <c r="F23" s="19" t="s">
        <v>99</v>
      </c>
      <c r="G23" s="8" t="s">
        <v>199</v>
      </c>
      <c r="H23" s="19" t="s">
        <v>143</v>
      </c>
      <c r="I23" s="19" t="s">
        <v>95</v>
      </c>
      <c r="J23" s="19" t="s">
        <v>99</v>
      </c>
      <c r="K23" s="26" t="str">
        <f>HYPERLINK("https://maxxton.atlassian.net/browse/QA-28901","QA-28901")</f>
        <v>QA-28901</v>
      </c>
      <c r="L23" s="19" t="s">
        <v>642</v>
      </c>
      <c r="M23" s="126" t="s">
        <v>199</v>
      </c>
      <c r="N23" s="127" t="s">
        <v>199</v>
      </c>
      <c r="O23" s="116"/>
      <c r="P23" s="20"/>
      <c r="Q23" s="20"/>
    </row>
    <row r="24">
      <c r="A24" s="25" t="str">
        <f>HYPERLINK("https://maxxton.atlassian.net/browse/QA-16541","QA-16541")</f>
        <v>QA-16541</v>
      </c>
      <c r="B24" s="35" t="s">
        <v>881</v>
      </c>
      <c r="C24" s="19" t="s">
        <v>95</v>
      </c>
      <c r="D24" s="19" t="s">
        <v>882</v>
      </c>
      <c r="E24" s="125" t="s">
        <v>863</v>
      </c>
      <c r="F24" s="19" t="s">
        <v>99</v>
      </c>
      <c r="G24" s="8" t="s">
        <v>179</v>
      </c>
      <c r="H24" s="19" t="s">
        <v>143</v>
      </c>
      <c r="I24" s="19" t="s">
        <v>95</v>
      </c>
      <c r="J24" s="19" t="s">
        <v>99</v>
      </c>
      <c r="K24" s="25" t="str">
        <f>HYPERLINK("https://maxxton.atlassian.net/browse/QA-28902","QA-28902")</f>
        <v>QA-28902</v>
      </c>
      <c r="L24" s="19" t="s">
        <v>642</v>
      </c>
      <c r="M24" s="126" t="s">
        <v>179</v>
      </c>
      <c r="N24" s="127" t="s">
        <v>172</v>
      </c>
      <c r="O24" s="116"/>
      <c r="P24" s="20"/>
      <c r="Q24" s="20"/>
    </row>
    <row r="25">
      <c r="A25" s="25" t="str">
        <f>HYPERLINK("https://maxxton.atlassian.net/browse/QA-17840","QA-17840")</f>
        <v>QA-17840</v>
      </c>
      <c r="B25" s="19" t="s">
        <v>883</v>
      </c>
      <c r="C25" s="19" t="s">
        <v>95</v>
      </c>
      <c r="D25" s="19" t="s">
        <v>862</v>
      </c>
      <c r="E25" s="125" t="s">
        <v>863</v>
      </c>
      <c r="F25" s="19" t="s">
        <v>99</v>
      </c>
      <c r="G25" s="8" t="s">
        <v>179</v>
      </c>
      <c r="H25" s="19" t="s">
        <v>143</v>
      </c>
      <c r="I25" s="19" t="s">
        <v>95</v>
      </c>
      <c r="J25" s="19" t="s">
        <v>851</v>
      </c>
      <c r="K25" s="26" t="str">
        <f>HYPERLINK("https://maxxton.atlassian.net/browse/QA-28903","QA-28903")</f>
        <v>QA-28903</v>
      </c>
      <c r="L25" s="19" t="s">
        <v>642</v>
      </c>
      <c r="M25" s="126" t="s">
        <v>179</v>
      </c>
      <c r="N25" s="127" t="s">
        <v>179</v>
      </c>
      <c r="O25" s="116"/>
      <c r="P25" s="20"/>
      <c r="Q25" s="20"/>
    </row>
    <row r="26">
      <c r="A26" s="25" t="str">
        <f>HYPERLINK("https://maxxton.atlassian.net/browse/QA-22321","QA-22321")</f>
        <v>QA-22321</v>
      </c>
      <c r="B26" s="19" t="s">
        <v>884</v>
      </c>
      <c r="C26" s="19" t="s">
        <v>95</v>
      </c>
      <c r="D26" s="19" t="s">
        <v>862</v>
      </c>
      <c r="E26" s="125" t="s">
        <v>863</v>
      </c>
      <c r="F26" s="19" t="s">
        <v>99</v>
      </c>
      <c r="G26" s="8" t="s">
        <v>187</v>
      </c>
      <c r="H26" s="19" t="s">
        <v>143</v>
      </c>
      <c r="I26" s="19" t="s">
        <v>95</v>
      </c>
      <c r="J26" s="19" t="s">
        <v>99</v>
      </c>
      <c r="K26" s="26" t="str">
        <f>HYPERLINK("https://maxxton.atlassian.net/browse/QA-28904","QA-28904")</f>
        <v>QA-28904</v>
      </c>
      <c r="L26" s="19" t="s">
        <v>642</v>
      </c>
      <c r="M26" s="126" t="s">
        <v>187</v>
      </c>
      <c r="N26" s="127" t="s">
        <v>187</v>
      </c>
      <c r="O26" s="116"/>
      <c r="P26" s="20"/>
      <c r="Q26" s="20"/>
    </row>
    <row r="27">
      <c r="A27" s="45" t="str">
        <f>HYPERLINK("https://maxxton.atlassian.net/browse/QA-10187","QA-10187")</f>
        <v>QA-10187</v>
      </c>
      <c r="B27" s="38" t="s">
        <v>885</v>
      </c>
      <c r="C27" s="37" t="s">
        <v>95</v>
      </c>
      <c r="D27" s="38" t="s">
        <v>656</v>
      </c>
      <c r="E27" s="38" t="s">
        <v>654</v>
      </c>
      <c r="F27" s="38" t="s">
        <v>99</v>
      </c>
      <c r="G27" s="128" t="s">
        <v>216</v>
      </c>
      <c r="H27" s="124" t="s">
        <v>143</v>
      </c>
      <c r="I27" s="38" t="s">
        <v>95</v>
      </c>
      <c r="J27" s="38" t="s">
        <v>99</v>
      </c>
      <c r="K27" s="45" t="str">
        <f>HYPERLINK("https://maxxton.atlassian.net/browse/QA-28905","QA-28905")</f>
        <v>QA-28905</v>
      </c>
      <c r="L27" s="37" t="s">
        <v>642</v>
      </c>
      <c r="M27" s="118" t="s">
        <v>216</v>
      </c>
      <c r="N27" s="118" t="s">
        <v>216</v>
      </c>
      <c r="O27" s="129" t="s">
        <v>728</v>
      </c>
      <c r="P27" s="123"/>
      <c r="Q27" s="130"/>
      <c r="R27" s="123"/>
      <c r="S27" s="123"/>
      <c r="T27" s="123"/>
      <c r="U27" s="123"/>
      <c r="V27" s="123"/>
      <c r="W27" s="123"/>
      <c r="X27" s="123"/>
      <c r="Y27" s="123"/>
      <c r="Z27" s="123"/>
      <c r="AA27" s="123"/>
      <c r="AB27" s="123"/>
      <c r="AC27" s="123"/>
      <c r="AD27" s="123"/>
    </row>
    <row r="28">
      <c r="A28" s="19" t="s">
        <v>886</v>
      </c>
      <c r="B28" s="19" t="s">
        <v>887</v>
      </c>
      <c r="C28" s="19" t="s">
        <v>95</v>
      </c>
      <c r="D28" s="35" t="s">
        <v>862</v>
      </c>
      <c r="E28" s="117" t="s">
        <v>863</v>
      </c>
      <c r="F28" s="19" t="s">
        <v>851</v>
      </c>
      <c r="G28" s="8" t="s">
        <v>216</v>
      </c>
      <c r="H28" s="19" t="s">
        <v>98</v>
      </c>
      <c r="I28" s="19" t="s">
        <v>95</v>
      </c>
      <c r="J28" s="19" t="s">
        <v>851</v>
      </c>
      <c r="K28" s="19"/>
      <c r="L28" s="19"/>
      <c r="M28" s="126"/>
      <c r="N28" s="127"/>
      <c r="O28" s="116"/>
      <c r="P28" s="20"/>
      <c r="Q28" s="20"/>
    </row>
    <row r="29">
      <c r="A29" s="19"/>
      <c r="B29" s="19"/>
      <c r="C29" s="19"/>
      <c r="D29" s="19"/>
      <c r="E29" s="125"/>
      <c r="F29" s="19"/>
      <c r="G29" s="8"/>
      <c r="H29" s="19"/>
      <c r="I29" s="19"/>
      <c r="J29" s="19"/>
      <c r="K29" s="19"/>
      <c r="L29" s="19"/>
      <c r="M29" s="126"/>
      <c r="N29" s="127"/>
      <c r="O29" s="116"/>
      <c r="P29" s="20"/>
      <c r="Q29" s="20"/>
    </row>
    <row r="30">
      <c r="A30" s="25" t="str">
        <f>HYPERLINK("https://maxxton.atlassian.net/browse/QA-16552","QA-16552")</f>
        <v>QA-16552</v>
      </c>
      <c r="B30" s="19" t="s">
        <v>888</v>
      </c>
      <c r="C30" s="19" t="s">
        <v>95</v>
      </c>
      <c r="D30" s="19" t="s">
        <v>867</v>
      </c>
      <c r="E30" s="125" t="s">
        <v>863</v>
      </c>
      <c r="F30" s="19" t="s">
        <v>491</v>
      </c>
      <c r="G30" s="8" t="s">
        <v>172</v>
      </c>
      <c r="H30" s="19" t="s">
        <v>98</v>
      </c>
      <c r="I30" s="19" t="s">
        <v>95</v>
      </c>
      <c r="J30" s="19" t="s">
        <v>851</v>
      </c>
      <c r="K30" s="25" t="str">
        <f>HYPERLINK("https://maxxton.atlassian.net/browse/QA-24024","QA-24024")</f>
        <v>QA-24024</v>
      </c>
      <c r="L30" s="19" t="s">
        <v>279</v>
      </c>
      <c r="M30" s="126" t="s">
        <v>172</v>
      </c>
      <c r="N30" s="127" t="s">
        <v>172</v>
      </c>
      <c r="O30" s="116"/>
      <c r="P30" s="20"/>
      <c r="Q30" s="20"/>
    </row>
    <row r="31">
      <c r="A31" s="19"/>
      <c r="B31" s="19"/>
      <c r="C31" s="19"/>
      <c r="D31" s="19"/>
      <c r="E31" s="19"/>
      <c r="F31" s="19"/>
      <c r="G31" s="19"/>
      <c r="H31" s="19"/>
      <c r="I31" s="19"/>
      <c r="J31" s="19"/>
      <c r="K31" s="21"/>
      <c r="L31" s="19"/>
      <c r="O31" s="44"/>
      <c r="P31" s="44"/>
      <c r="Q31" s="22"/>
      <c r="R31" s="44"/>
      <c r="S31" s="20"/>
      <c r="T31" s="20"/>
    </row>
    <row r="32">
      <c r="A32" s="25" t="str">
        <f>HYPERLINK("https://maxxton.atlassian.net/browse/QA-10188","QA-10188")</f>
        <v>QA-10188</v>
      </c>
      <c r="B32" s="19" t="s">
        <v>889</v>
      </c>
      <c r="C32" s="19" t="s">
        <v>169</v>
      </c>
      <c r="D32" s="19" t="s">
        <v>653</v>
      </c>
      <c r="E32" s="19" t="s">
        <v>654</v>
      </c>
      <c r="F32" s="19" t="s">
        <v>99</v>
      </c>
      <c r="G32" s="19" t="s">
        <v>187</v>
      </c>
      <c r="H32" s="19" t="s">
        <v>98</v>
      </c>
      <c r="I32" s="19" t="s">
        <v>95</v>
      </c>
      <c r="J32" s="19" t="s">
        <v>99</v>
      </c>
      <c r="K32" s="26" t="str">
        <f>HYPERLINK("https://maxxton.atlassian.net/browse/QA-15375","QA-15375")</f>
        <v>QA-15375</v>
      </c>
      <c r="L32" s="19" t="s">
        <v>890</v>
      </c>
      <c r="O32" s="44"/>
      <c r="P32" s="44"/>
      <c r="Q32" s="23"/>
      <c r="R32" s="44"/>
      <c r="S32" s="20"/>
      <c r="T32" s="20"/>
    </row>
    <row r="33">
      <c r="A33" s="25" t="str">
        <f>HYPERLINK("https://maxxton.atlassian.net/browse/QA-10189","QA-10189")</f>
        <v>QA-10189</v>
      </c>
      <c r="B33" s="19" t="s">
        <v>891</v>
      </c>
      <c r="C33" s="19" t="s">
        <v>169</v>
      </c>
      <c r="D33" s="19" t="s">
        <v>653</v>
      </c>
      <c r="E33" s="19" t="s">
        <v>654</v>
      </c>
      <c r="F33" s="19" t="s">
        <v>99</v>
      </c>
      <c r="G33" s="19" t="s">
        <v>187</v>
      </c>
      <c r="H33" s="19" t="s">
        <v>98</v>
      </c>
      <c r="I33" s="19" t="s">
        <v>95</v>
      </c>
      <c r="J33" s="19" t="s">
        <v>99</v>
      </c>
      <c r="K33" s="26" t="str">
        <f>HYPERLINK("https://maxxton.atlassian.net/browse/QA-10281","QA-10281")</f>
        <v>QA-10281</v>
      </c>
      <c r="L33" s="19" t="s">
        <v>892</v>
      </c>
    </row>
    <row r="34">
      <c r="A34" s="25" t="str">
        <f>HYPERLINK("https://maxxton.atlassian.net/browse/QA-10311","QA-10311")</f>
        <v>QA-10311</v>
      </c>
      <c r="B34" s="19" t="s">
        <v>893</v>
      </c>
      <c r="C34" s="19" t="s">
        <v>169</v>
      </c>
      <c r="D34" s="19" t="s">
        <v>656</v>
      </c>
      <c r="E34" s="19" t="s">
        <v>654</v>
      </c>
      <c r="F34" s="19" t="s">
        <v>99</v>
      </c>
      <c r="G34" s="19" t="s">
        <v>179</v>
      </c>
      <c r="H34" s="19" t="s">
        <v>98</v>
      </c>
      <c r="I34" s="19" t="s">
        <v>169</v>
      </c>
      <c r="J34" s="19" t="s">
        <v>99</v>
      </c>
      <c r="K34" s="21"/>
      <c r="L34" s="19" t="s">
        <v>894</v>
      </c>
    </row>
    <row r="35">
      <c r="A35" s="25" t="str">
        <f>HYPERLINK("https://maxxton.atlassian.net/browse/QA-10312","QA-10312")</f>
        <v>QA-10312</v>
      </c>
      <c r="B35" s="19" t="s">
        <v>895</v>
      </c>
      <c r="C35" s="19" t="s">
        <v>169</v>
      </c>
      <c r="D35" s="19" t="s">
        <v>656</v>
      </c>
      <c r="E35" s="19" t="s">
        <v>654</v>
      </c>
      <c r="F35" s="19" t="s">
        <v>99</v>
      </c>
      <c r="G35" s="19" t="s">
        <v>231</v>
      </c>
      <c r="H35" s="19" t="s">
        <v>98</v>
      </c>
      <c r="I35" s="19" t="s">
        <v>169</v>
      </c>
      <c r="J35" s="19" t="s">
        <v>99</v>
      </c>
      <c r="K35" s="21"/>
      <c r="L35" s="19" t="s">
        <v>894</v>
      </c>
    </row>
    <row r="36">
      <c r="A36" s="19"/>
      <c r="B36" s="35"/>
      <c r="C36" s="19"/>
      <c r="D36" s="19"/>
      <c r="E36" s="125"/>
      <c r="F36" s="19"/>
      <c r="H36" s="19"/>
      <c r="I36" s="19"/>
      <c r="J36" s="19"/>
      <c r="K36" s="19"/>
      <c r="L36" s="19"/>
      <c r="M36" s="8"/>
      <c r="N36" s="8"/>
      <c r="O36" s="44"/>
      <c r="P36" s="20"/>
      <c r="Q36" s="20"/>
    </row>
    <row r="37">
      <c r="A37" s="19"/>
      <c r="B37" s="35"/>
      <c r="C37" s="19"/>
      <c r="D37" s="19"/>
      <c r="E37" s="125"/>
      <c r="F37" s="19"/>
      <c r="H37" s="19"/>
      <c r="I37" s="19"/>
      <c r="J37" s="19"/>
      <c r="K37" s="19"/>
      <c r="L37" s="19"/>
      <c r="M37" s="8"/>
      <c r="N37" s="8"/>
      <c r="O37" s="44"/>
      <c r="P37" s="20"/>
      <c r="Q37" s="20"/>
    </row>
    <row r="38">
      <c r="A38" s="19"/>
      <c r="B38" s="35"/>
      <c r="C38" s="19"/>
      <c r="D38" s="19"/>
      <c r="E38" s="125"/>
      <c r="F38" s="19"/>
      <c r="H38" s="19"/>
      <c r="I38" s="19"/>
      <c r="J38" s="19"/>
      <c r="K38" s="19"/>
      <c r="L38" s="19"/>
      <c r="M38" s="8"/>
      <c r="N38" s="8"/>
      <c r="O38" s="44"/>
      <c r="P38" s="20"/>
      <c r="Q38" s="20"/>
    </row>
    <row r="39">
      <c r="A39" s="19"/>
      <c r="B39" s="35"/>
      <c r="C39" s="19"/>
      <c r="D39" s="19"/>
      <c r="E39" s="125"/>
      <c r="F39" s="19"/>
      <c r="H39" s="19"/>
      <c r="I39" s="19"/>
      <c r="J39" s="19"/>
      <c r="K39" s="19"/>
      <c r="L39" s="19"/>
      <c r="M39" s="8"/>
      <c r="N39" s="8"/>
      <c r="O39" s="44"/>
      <c r="P39" s="20"/>
      <c r="Q39" s="20"/>
    </row>
    <row r="40">
      <c r="A40" s="19"/>
      <c r="B40" s="35"/>
      <c r="C40" s="19"/>
      <c r="D40" s="19"/>
      <c r="E40" s="125"/>
      <c r="F40" s="19"/>
      <c r="H40" s="19"/>
      <c r="I40" s="19"/>
      <c r="J40" s="19"/>
      <c r="K40" s="19"/>
      <c r="L40" s="19"/>
      <c r="M40" s="8"/>
      <c r="N40" s="8"/>
      <c r="O40" s="44"/>
      <c r="P40" s="20"/>
      <c r="Q40" s="20"/>
    </row>
    <row r="41">
      <c r="A41" s="19"/>
      <c r="B41" s="35"/>
      <c r="C41" s="19"/>
      <c r="D41" s="19"/>
      <c r="E41" s="125"/>
      <c r="F41" s="19"/>
      <c r="H41" s="19"/>
      <c r="I41" s="19"/>
      <c r="J41" s="19"/>
      <c r="K41" s="19"/>
      <c r="L41" s="19"/>
      <c r="M41" s="8"/>
      <c r="N41" s="8"/>
      <c r="O41" s="44"/>
      <c r="P41" s="20"/>
      <c r="Q41" s="20"/>
    </row>
    <row r="42">
      <c r="A42" s="19"/>
      <c r="B42" s="35"/>
      <c r="C42" s="19"/>
      <c r="D42" s="19"/>
      <c r="E42" s="125"/>
      <c r="F42" s="19"/>
      <c r="H42" s="19"/>
      <c r="I42" s="19"/>
      <c r="J42" s="19"/>
      <c r="K42" s="19"/>
      <c r="L42" s="19"/>
      <c r="M42" s="8"/>
      <c r="N42" s="8"/>
      <c r="O42" s="44"/>
      <c r="P42" s="20"/>
      <c r="Q42" s="20"/>
    </row>
    <row r="43">
      <c r="A43" s="19"/>
      <c r="B43" s="35"/>
      <c r="C43" s="19"/>
      <c r="D43" s="19"/>
      <c r="E43" s="125"/>
      <c r="F43" s="19"/>
      <c r="H43" s="19"/>
      <c r="I43" s="19"/>
      <c r="J43" s="19"/>
      <c r="K43" s="19"/>
      <c r="L43" s="19"/>
      <c r="M43" s="8"/>
      <c r="N43" s="8"/>
      <c r="O43" s="44"/>
      <c r="P43" s="20"/>
      <c r="Q43" s="20"/>
    </row>
    <row r="44">
      <c r="A44" s="19"/>
      <c r="B44" s="35"/>
      <c r="C44" s="19"/>
      <c r="D44" s="19"/>
      <c r="E44" s="125"/>
      <c r="F44" s="19"/>
      <c r="H44" s="19"/>
      <c r="I44" s="19"/>
      <c r="J44" s="19"/>
      <c r="K44" s="19"/>
      <c r="L44" s="19"/>
      <c r="M44" s="8"/>
      <c r="N44" s="8"/>
      <c r="O44" s="44"/>
      <c r="P44" s="20"/>
      <c r="Q44" s="20"/>
    </row>
    <row r="45">
      <c r="A45" s="19"/>
      <c r="B45" s="35"/>
      <c r="C45" s="19"/>
      <c r="D45" s="19"/>
      <c r="E45" s="125"/>
      <c r="F45" s="19"/>
      <c r="H45" s="19"/>
      <c r="I45" s="19"/>
      <c r="J45" s="19"/>
      <c r="K45" s="19"/>
      <c r="L45" s="19"/>
      <c r="M45" s="8"/>
      <c r="N45" s="8"/>
      <c r="O45" s="44"/>
      <c r="P45" s="20"/>
      <c r="Q45" s="20"/>
    </row>
    <row r="46">
      <c r="A46" s="19"/>
      <c r="B46" s="19"/>
      <c r="C46" s="19"/>
      <c r="D46" s="19"/>
      <c r="E46" s="125"/>
      <c r="F46" s="19"/>
      <c r="H46" s="19"/>
      <c r="I46" s="19"/>
      <c r="J46" s="19"/>
      <c r="K46" s="19"/>
      <c r="L46" s="19"/>
      <c r="M46" s="8"/>
      <c r="N46" s="8"/>
      <c r="O46" s="44"/>
      <c r="P46" s="20"/>
      <c r="Q46" s="20"/>
    </row>
    <row r="47">
      <c r="A47" s="19"/>
      <c r="B47" s="19"/>
      <c r="C47" s="19"/>
      <c r="D47" s="19"/>
      <c r="E47" s="125"/>
      <c r="F47" s="19"/>
      <c r="H47" s="19"/>
      <c r="I47" s="19"/>
      <c r="J47" s="19"/>
      <c r="K47" s="19"/>
      <c r="L47" s="19"/>
      <c r="M47" s="8"/>
      <c r="N47" s="8"/>
      <c r="O47" s="44"/>
      <c r="P47" s="20"/>
      <c r="Q47" s="20"/>
    </row>
    <row r="48">
      <c r="A48" s="19"/>
      <c r="B48" s="19"/>
      <c r="C48" s="19"/>
      <c r="D48" s="19"/>
      <c r="E48" s="125"/>
      <c r="F48" s="19"/>
      <c r="H48" s="19"/>
      <c r="I48" s="19"/>
      <c r="J48" s="19"/>
      <c r="K48" s="19"/>
      <c r="L48" s="19"/>
      <c r="M48" s="8"/>
      <c r="N48" s="8"/>
      <c r="O48" s="44"/>
      <c r="P48" s="20"/>
      <c r="Q48" s="20"/>
    </row>
    <row r="49">
      <c r="A49" s="19"/>
      <c r="B49" s="19"/>
      <c r="C49" s="19"/>
      <c r="D49" s="19"/>
      <c r="E49" s="125"/>
      <c r="F49" s="19"/>
      <c r="H49" s="19"/>
      <c r="I49" s="19"/>
      <c r="J49" s="19"/>
      <c r="K49" s="19"/>
      <c r="L49" s="19"/>
      <c r="M49" s="8"/>
      <c r="N49" s="8"/>
      <c r="O49" s="44"/>
      <c r="P49" s="20"/>
      <c r="Q49" s="20"/>
    </row>
    <row r="50">
      <c r="A50" s="19"/>
      <c r="B50" s="19"/>
      <c r="C50" s="19"/>
      <c r="D50" s="19"/>
      <c r="E50" s="125"/>
      <c r="F50" s="19"/>
      <c r="H50" s="19"/>
      <c r="I50" s="19"/>
      <c r="J50" s="19"/>
      <c r="K50" s="21"/>
      <c r="L50" s="19"/>
      <c r="M50" s="8"/>
      <c r="N50" s="8"/>
      <c r="O50" s="44"/>
      <c r="P50" s="20"/>
      <c r="Q50" s="20"/>
    </row>
    <row r="51">
      <c r="A51" s="19"/>
      <c r="B51" s="19"/>
      <c r="C51" s="19"/>
      <c r="D51" s="19"/>
      <c r="E51" s="125"/>
      <c r="F51" s="19"/>
      <c r="H51" s="19"/>
      <c r="I51" s="19"/>
      <c r="J51" s="19"/>
      <c r="K51" s="19"/>
      <c r="L51" s="19"/>
      <c r="M51" s="8"/>
      <c r="N51" s="8"/>
      <c r="O51" s="44"/>
      <c r="P51" s="20"/>
      <c r="Q51" s="20"/>
    </row>
    <row r="52">
      <c r="C52" s="24"/>
      <c r="F52" s="24"/>
      <c r="H52" s="24"/>
      <c r="I52" s="24"/>
      <c r="J52" s="24"/>
    </row>
    <row r="53">
      <c r="C53" s="24"/>
      <c r="F53" s="24"/>
      <c r="H53" s="24"/>
      <c r="I53" s="24"/>
      <c r="J53" s="24"/>
    </row>
    <row r="54">
      <c r="C54" s="24"/>
      <c r="F54" s="24"/>
      <c r="H54" s="24"/>
      <c r="I54" s="24"/>
      <c r="J54" s="24"/>
    </row>
    <row r="55">
      <c r="C55" s="24"/>
      <c r="F55" s="24"/>
      <c r="H55" s="24"/>
      <c r="I55" s="24"/>
      <c r="J55" s="24"/>
    </row>
    <row r="56">
      <c r="C56" s="24"/>
      <c r="F56" s="24"/>
      <c r="H56" s="24"/>
      <c r="I56" s="24"/>
      <c r="J56" s="24"/>
    </row>
    <row r="57">
      <c r="C57" s="24"/>
      <c r="F57" s="24"/>
      <c r="H57" s="24"/>
      <c r="I57" s="24"/>
      <c r="J57" s="24"/>
    </row>
    <row r="58">
      <c r="C58" s="24"/>
      <c r="F58" s="24"/>
      <c r="H58" s="24"/>
      <c r="I58" s="24"/>
      <c r="J58" s="24"/>
    </row>
    <row r="59">
      <c r="C59" s="24"/>
      <c r="F59" s="24"/>
      <c r="H59" s="24"/>
      <c r="I59" s="24"/>
      <c r="J59" s="24"/>
    </row>
    <row r="60">
      <c r="C60" s="24"/>
      <c r="F60" s="24"/>
      <c r="H60" s="24"/>
      <c r="I60" s="24"/>
      <c r="J60" s="24"/>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row r="965">
      <c r="C965" s="24"/>
      <c r="F965" s="24"/>
      <c r="H965" s="24"/>
      <c r="I965" s="24"/>
      <c r="J965" s="24"/>
    </row>
    <row r="966">
      <c r="C966" s="24"/>
      <c r="F966" s="24"/>
      <c r="H966" s="24"/>
      <c r="I966" s="24"/>
      <c r="J966" s="24"/>
    </row>
    <row r="967">
      <c r="C967" s="24"/>
      <c r="F967" s="24"/>
      <c r="H967" s="24"/>
      <c r="I967" s="24"/>
      <c r="J967" s="24"/>
    </row>
    <row r="968">
      <c r="C968" s="24"/>
      <c r="F968" s="24"/>
      <c r="H968" s="24"/>
      <c r="I968" s="24"/>
      <c r="J968" s="24"/>
    </row>
    <row r="969">
      <c r="C969" s="24"/>
      <c r="F969" s="24"/>
      <c r="H969" s="24"/>
      <c r="I969" s="24"/>
      <c r="J969" s="24"/>
    </row>
    <row r="970">
      <c r="C970" s="24"/>
      <c r="F970" s="24"/>
      <c r="H970" s="24"/>
      <c r="I970" s="24"/>
      <c r="J970" s="24"/>
    </row>
    <row r="971">
      <c r="C971" s="24"/>
      <c r="F971" s="24"/>
      <c r="H971" s="24"/>
      <c r="I971" s="24"/>
      <c r="J971" s="24"/>
    </row>
    <row r="972">
      <c r="C972" s="24"/>
      <c r="F972" s="24"/>
      <c r="H972" s="24"/>
      <c r="I972" s="24"/>
      <c r="J972" s="24"/>
    </row>
    <row r="973">
      <c r="C973" s="24"/>
      <c r="F973" s="24"/>
      <c r="H973" s="24"/>
      <c r="I973" s="24"/>
      <c r="J973" s="24"/>
    </row>
    <row r="974">
      <c r="C974" s="24"/>
      <c r="F974" s="24"/>
      <c r="H974" s="24"/>
      <c r="I974" s="24"/>
      <c r="J974" s="24"/>
    </row>
    <row r="975">
      <c r="C975" s="24"/>
      <c r="F975" s="24"/>
      <c r="H975" s="24"/>
      <c r="I975" s="24"/>
      <c r="J975" s="24"/>
    </row>
    <row r="976">
      <c r="C976" s="24"/>
      <c r="F976" s="24"/>
      <c r="H976" s="24"/>
      <c r="I976" s="24"/>
      <c r="J976" s="24"/>
    </row>
    <row r="977">
      <c r="C977" s="24"/>
      <c r="F977" s="24"/>
      <c r="H977" s="24"/>
      <c r="I977" s="24"/>
      <c r="J977" s="24"/>
    </row>
    <row r="978">
      <c r="C978" s="24"/>
      <c r="F978" s="24"/>
      <c r="H978" s="24"/>
      <c r="I978" s="24"/>
      <c r="J978" s="24"/>
    </row>
    <row r="979">
      <c r="C979" s="24"/>
      <c r="F979" s="24"/>
      <c r="H979" s="24"/>
      <c r="I979" s="24"/>
      <c r="J979" s="24"/>
    </row>
    <row r="980">
      <c r="C980" s="24"/>
      <c r="F980" s="24"/>
      <c r="H980" s="24"/>
      <c r="I980" s="24"/>
      <c r="J980" s="24"/>
    </row>
    <row r="981">
      <c r="C981" s="24"/>
      <c r="F981" s="24"/>
      <c r="H981" s="24"/>
      <c r="I981" s="24"/>
      <c r="J981" s="24"/>
    </row>
    <row r="982">
      <c r="C982" s="24"/>
      <c r="F982" s="24"/>
      <c r="H982" s="24"/>
      <c r="I982" s="24"/>
      <c r="J982" s="24"/>
    </row>
    <row r="983">
      <c r="C983" s="24"/>
      <c r="F983" s="24"/>
      <c r="H983" s="24"/>
      <c r="I983" s="24"/>
      <c r="J983" s="24"/>
    </row>
    <row r="984">
      <c r="C984" s="24"/>
      <c r="F984" s="24"/>
      <c r="H984" s="24"/>
      <c r="I984" s="24"/>
      <c r="J984" s="24"/>
    </row>
    <row r="985">
      <c r="C985" s="24"/>
      <c r="F985" s="24"/>
      <c r="H985" s="24"/>
      <c r="I985" s="24"/>
      <c r="J985" s="24"/>
    </row>
    <row r="986">
      <c r="C986" s="24"/>
      <c r="F986" s="24"/>
      <c r="H986" s="24"/>
      <c r="I986" s="24"/>
      <c r="J986" s="24"/>
    </row>
    <row r="987">
      <c r="C987" s="24"/>
      <c r="F987" s="24"/>
      <c r="H987" s="24"/>
      <c r="I987" s="24"/>
      <c r="J987" s="24"/>
    </row>
  </sheetData>
  <mergeCells count="1">
    <mergeCell ref="P1:Q1"/>
  </mergeCells>
  <conditionalFormatting sqref="H32:H35">
    <cfRule type="containsText" dxfId="1" priority="1" operator="containsText" text="N">
      <formula>NOT(ISERROR(SEARCH(("N"),(H32))))</formula>
    </cfRule>
  </conditionalFormatting>
  <conditionalFormatting sqref="H32:H35">
    <cfRule type="cellIs" dxfId="0" priority="2" operator="equal">
      <formula>"Y"</formula>
    </cfRule>
  </conditionalFormatting>
  <conditionalFormatting sqref="H1:H31 H36:H987">
    <cfRule type="cellIs" dxfId="0" priority="3" operator="equal">
      <formula>"Y"</formula>
    </cfRule>
  </conditionalFormatting>
  <conditionalFormatting sqref="H1:H31 H36:H987">
    <cfRule type="containsText" dxfId="1" priority="4" operator="containsText" text="N">
      <formula>NOT(ISERROR(SEARCH(("N"),(H1))))</formula>
    </cfRule>
  </conditionalFormatting>
  <dataValidations>
    <dataValidation type="list" allowBlank="1" sqref="C7:C987 I7:I987">
      <formula1>"P1,P2,P3,P4,P5"</formula1>
    </dataValidation>
    <dataValidation type="list" allowBlank="1" sqref="F7:F987 J7:J987">
      <formula1>BaseData!$A$2:$A$53</formula1>
    </dataValidation>
    <dataValidation type="list" allowBlank="1" sqref="H7:H987">
      <formula1>"Y,N"</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6.38"/>
    <col customWidth="1" min="3" max="3" width="7.25"/>
    <col customWidth="1" min="4" max="4" width="20.5"/>
    <col customWidth="1" min="5" max="5" width="9.13"/>
    <col customWidth="1" min="6" max="6" width="18.63"/>
    <col customWidth="1" min="7" max="7" width="8.75"/>
    <col customWidth="1" min="8" max="8" width="11.0"/>
    <col customWidth="1" min="9" max="9" width="9.75"/>
    <col customWidth="1" min="10" max="10" width="17.0"/>
    <col customWidth="1" min="11" max="11" width="10.88"/>
    <col customWidth="1" min="12" max="12" width="38.63"/>
    <col customWidth="1" min="13" max="13" width="24.88"/>
    <col customWidth="1" min="14" max="14" width="21.75"/>
    <col customWidth="1" min="15" max="15" width="21.88"/>
  </cols>
  <sheetData>
    <row r="1">
      <c r="J1" s="8"/>
      <c r="O1" s="55"/>
    </row>
    <row r="2">
      <c r="A2" s="8"/>
      <c r="B2" s="8"/>
      <c r="E2" s="8"/>
      <c r="F2" s="12" t="s">
        <v>25</v>
      </c>
      <c r="G2" s="1">
        <f>countifs(A:A,"&lt;&gt;NEW",A:A,"&lt;&gt;")-1</f>
        <v>25</v>
      </c>
      <c r="H2" s="8"/>
      <c r="I2" s="8"/>
      <c r="J2" s="8"/>
      <c r="O2" s="55"/>
    </row>
    <row r="3">
      <c r="A3" s="8"/>
      <c r="B3" s="8"/>
      <c r="D3" s="16"/>
      <c r="E3" s="8"/>
      <c r="F3" s="17" t="s">
        <v>41</v>
      </c>
      <c r="G3" s="18">
        <f>countif(H:H,"=Y")</f>
        <v>24</v>
      </c>
      <c r="H3" s="8"/>
      <c r="I3" s="8"/>
      <c r="J3" s="8"/>
      <c r="O3" s="55"/>
    </row>
    <row r="4">
      <c r="A4" s="8"/>
      <c r="B4" s="8"/>
      <c r="E4" s="8"/>
      <c r="F4" s="17" t="s">
        <v>45</v>
      </c>
      <c r="G4" s="18">
        <f>COUNTIF(A:A,"=NEW")</f>
        <v>0</v>
      </c>
      <c r="H4" s="8"/>
      <c r="I4" s="8"/>
      <c r="J4" s="8"/>
      <c r="O4" s="55"/>
    </row>
    <row r="5">
      <c r="A5" s="8"/>
      <c r="B5" s="8"/>
      <c r="C5" s="8"/>
      <c r="D5" s="8"/>
      <c r="E5" s="8"/>
      <c r="F5" s="8"/>
      <c r="G5" s="8"/>
      <c r="H5" s="8"/>
      <c r="I5" s="8"/>
      <c r="J5" s="8"/>
      <c r="O5" s="55"/>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165</v>
      </c>
      <c r="O6" s="131" t="s">
        <v>63</v>
      </c>
    </row>
    <row r="7">
      <c r="A7" s="45" t="s">
        <v>896</v>
      </c>
      <c r="B7" s="19" t="s">
        <v>897</v>
      </c>
      <c r="C7" s="19" t="s">
        <v>95</v>
      </c>
      <c r="D7" s="19" t="s">
        <v>898</v>
      </c>
      <c r="E7" s="19" t="s">
        <v>899</v>
      </c>
      <c r="F7" s="19" t="s">
        <v>858</v>
      </c>
      <c r="G7" s="19" t="s">
        <v>110</v>
      </c>
      <c r="H7" s="52" t="s">
        <v>143</v>
      </c>
      <c r="I7" s="19" t="s">
        <v>95</v>
      </c>
      <c r="J7" s="19" t="s">
        <v>858</v>
      </c>
      <c r="K7" s="25" t="str">
        <f>HYPERLINK("https://maxxton.atlassian.net/browse/QA-28928","QA-28928")</f>
        <v>QA-28928</v>
      </c>
      <c r="L7" s="19" t="s">
        <v>642</v>
      </c>
      <c r="M7" s="8" t="s">
        <v>315</v>
      </c>
      <c r="N7" s="8" t="s">
        <v>900</v>
      </c>
      <c r="O7" s="55"/>
    </row>
    <row r="8">
      <c r="A8" s="45" t="s">
        <v>901</v>
      </c>
      <c r="B8" s="19" t="s">
        <v>598</v>
      </c>
      <c r="C8" s="19" t="s">
        <v>95</v>
      </c>
      <c r="D8" s="19" t="s">
        <v>902</v>
      </c>
      <c r="E8" s="19" t="s">
        <v>899</v>
      </c>
      <c r="F8" s="19" t="s">
        <v>845</v>
      </c>
      <c r="G8" s="19" t="s">
        <v>110</v>
      </c>
      <c r="H8" s="19" t="s">
        <v>143</v>
      </c>
      <c r="I8" s="19" t="s">
        <v>95</v>
      </c>
      <c r="J8" s="19" t="s">
        <v>845</v>
      </c>
      <c r="K8" s="25" t="str">
        <f>HYPERLINK("https://maxxton.atlassian.net/browse/QA-28929","QA-28929")</f>
        <v>QA-28929</v>
      </c>
      <c r="L8" s="19" t="s">
        <v>642</v>
      </c>
      <c r="M8" s="8" t="s">
        <v>179</v>
      </c>
      <c r="N8" s="8" t="s">
        <v>515</v>
      </c>
      <c r="O8" s="55"/>
    </row>
    <row r="9">
      <c r="A9" s="19" t="s">
        <v>903</v>
      </c>
      <c r="B9" s="19" t="s">
        <v>904</v>
      </c>
      <c r="C9" s="19" t="s">
        <v>95</v>
      </c>
      <c r="D9" s="19" t="s">
        <v>905</v>
      </c>
      <c r="E9" s="19" t="s">
        <v>899</v>
      </c>
      <c r="F9" s="19" t="s">
        <v>845</v>
      </c>
      <c r="G9" s="19" t="s">
        <v>110</v>
      </c>
      <c r="H9" s="19" t="s">
        <v>143</v>
      </c>
      <c r="I9" s="19" t="s">
        <v>95</v>
      </c>
      <c r="J9" s="19" t="s">
        <v>845</v>
      </c>
      <c r="K9" s="25" t="str">
        <f>HYPERLINK("https://maxxton.atlassian.net/browse/QA-28930","QA-28930")</f>
        <v>QA-28930</v>
      </c>
      <c r="L9" s="19" t="s">
        <v>642</v>
      </c>
      <c r="M9" s="8" t="s">
        <v>199</v>
      </c>
      <c r="N9" s="8" t="s">
        <v>136</v>
      </c>
      <c r="O9" s="55"/>
    </row>
    <row r="10">
      <c r="A10" s="19" t="s">
        <v>906</v>
      </c>
      <c r="B10" s="19" t="s">
        <v>907</v>
      </c>
      <c r="C10" s="19" t="s">
        <v>95</v>
      </c>
      <c r="D10" s="19" t="s">
        <v>908</v>
      </c>
      <c r="E10" s="19" t="s">
        <v>899</v>
      </c>
      <c r="F10" s="19" t="s">
        <v>845</v>
      </c>
      <c r="G10" s="19" t="s">
        <v>110</v>
      </c>
      <c r="H10" s="19" t="s">
        <v>143</v>
      </c>
      <c r="I10" s="19" t="s">
        <v>95</v>
      </c>
      <c r="J10" s="19" t="s">
        <v>845</v>
      </c>
      <c r="K10" s="25" t="str">
        <f>HYPERLINK("https://maxxton.atlassian.net/browse/QA-28931","QA-28931")</f>
        <v>QA-28931</v>
      </c>
      <c r="L10" s="19" t="s">
        <v>642</v>
      </c>
      <c r="M10" s="8" t="s">
        <v>909</v>
      </c>
      <c r="N10" s="8" t="s">
        <v>241</v>
      </c>
      <c r="O10" s="55"/>
    </row>
    <row r="11">
      <c r="A11" s="19" t="s">
        <v>910</v>
      </c>
      <c r="B11" s="19" t="s">
        <v>911</v>
      </c>
      <c r="C11" s="19" t="s">
        <v>95</v>
      </c>
      <c r="D11" s="19" t="s">
        <v>912</v>
      </c>
      <c r="E11" s="19" t="s">
        <v>899</v>
      </c>
      <c r="F11" s="19" t="s">
        <v>858</v>
      </c>
      <c r="G11" s="19" t="s">
        <v>110</v>
      </c>
      <c r="H11" s="19" t="s">
        <v>143</v>
      </c>
      <c r="I11" s="19" t="s">
        <v>95</v>
      </c>
      <c r="J11" s="19" t="s">
        <v>858</v>
      </c>
      <c r="K11" s="25" t="str">
        <f>HYPERLINK("https://maxxton.atlassian.net/browse/QA-28932","QA-28932")</f>
        <v>QA-28932</v>
      </c>
      <c r="L11" s="19" t="s">
        <v>642</v>
      </c>
      <c r="M11" s="8" t="s">
        <v>199</v>
      </c>
      <c r="N11" s="8" t="s">
        <v>136</v>
      </c>
      <c r="O11" s="55"/>
    </row>
    <row r="12">
      <c r="A12" s="19" t="s">
        <v>913</v>
      </c>
      <c r="B12" s="19" t="s">
        <v>914</v>
      </c>
      <c r="C12" s="19" t="s">
        <v>95</v>
      </c>
      <c r="D12" s="19" t="s">
        <v>915</v>
      </c>
      <c r="E12" s="19" t="s">
        <v>899</v>
      </c>
      <c r="F12" s="19" t="s">
        <v>858</v>
      </c>
      <c r="G12" s="19" t="s">
        <v>110</v>
      </c>
      <c r="H12" s="19" t="s">
        <v>143</v>
      </c>
      <c r="I12" s="19" t="s">
        <v>95</v>
      </c>
      <c r="J12" s="19" t="s">
        <v>858</v>
      </c>
      <c r="K12" s="25" t="str">
        <f>HYPERLINK("https://maxxton.atlassian.net/browse/QA-28933","QA-28933")</f>
        <v>QA-28933</v>
      </c>
      <c r="L12" s="19" t="s">
        <v>642</v>
      </c>
      <c r="M12" s="8" t="s">
        <v>199</v>
      </c>
      <c r="N12" s="8" t="s">
        <v>172</v>
      </c>
      <c r="O12" s="55"/>
    </row>
    <row r="13">
      <c r="A13" s="19" t="s">
        <v>916</v>
      </c>
      <c r="B13" s="19" t="s">
        <v>917</v>
      </c>
      <c r="C13" s="19" t="s">
        <v>95</v>
      </c>
      <c r="D13" s="19" t="s">
        <v>918</v>
      </c>
      <c r="E13" s="19" t="s">
        <v>899</v>
      </c>
      <c r="F13" s="19" t="s">
        <v>845</v>
      </c>
      <c r="G13" s="19" t="s">
        <v>110</v>
      </c>
      <c r="H13" s="19" t="s">
        <v>143</v>
      </c>
      <c r="I13" s="19" t="s">
        <v>95</v>
      </c>
      <c r="J13" s="19" t="s">
        <v>845</v>
      </c>
      <c r="K13" s="25" t="str">
        <f>HYPERLINK("https://maxxton.atlassian.net/browse/QA-28934","QA-28934")</f>
        <v>QA-28934</v>
      </c>
      <c r="L13" s="19" t="s">
        <v>642</v>
      </c>
      <c r="M13" s="8" t="s">
        <v>919</v>
      </c>
      <c r="N13" s="8" t="s">
        <v>919</v>
      </c>
      <c r="O13" s="56" t="s">
        <v>920</v>
      </c>
    </row>
    <row r="14">
      <c r="A14" s="19" t="s">
        <v>921</v>
      </c>
      <c r="B14" s="19" t="s">
        <v>922</v>
      </c>
      <c r="C14" s="19" t="s">
        <v>95</v>
      </c>
      <c r="D14" s="19" t="s">
        <v>923</v>
      </c>
      <c r="E14" s="19" t="s">
        <v>899</v>
      </c>
      <c r="F14" s="19" t="s">
        <v>858</v>
      </c>
      <c r="G14" s="19" t="s">
        <v>110</v>
      </c>
      <c r="H14" s="19" t="s">
        <v>143</v>
      </c>
      <c r="I14" s="19" t="s">
        <v>95</v>
      </c>
      <c r="J14" s="19" t="s">
        <v>858</v>
      </c>
      <c r="K14" s="25" t="str">
        <f>HYPERLINK("https://maxxton.atlassian.net/browse/QA-28935","QA-28935")</f>
        <v>QA-28935</v>
      </c>
      <c r="L14" s="19" t="s">
        <v>642</v>
      </c>
      <c r="M14" s="8" t="s">
        <v>909</v>
      </c>
      <c r="N14" s="8" t="s">
        <v>900</v>
      </c>
      <c r="O14" s="55"/>
    </row>
    <row r="15">
      <c r="A15" s="19" t="s">
        <v>924</v>
      </c>
      <c r="B15" s="19" t="s">
        <v>925</v>
      </c>
      <c r="C15" s="19" t="s">
        <v>95</v>
      </c>
      <c r="D15" s="19" t="s">
        <v>926</v>
      </c>
      <c r="E15" s="19" t="s">
        <v>899</v>
      </c>
      <c r="F15" s="19" t="s">
        <v>845</v>
      </c>
      <c r="G15" s="19" t="s">
        <v>110</v>
      </c>
      <c r="H15" s="19" t="s">
        <v>143</v>
      </c>
      <c r="I15" s="19" t="s">
        <v>95</v>
      </c>
      <c r="J15" s="19" t="s">
        <v>858</v>
      </c>
      <c r="K15" s="25" t="str">
        <f>HYPERLINK("https://maxxton.atlassian.net/browse/QA-28936","QA-28936")</f>
        <v>QA-28936</v>
      </c>
      <c r="L15" s="19" t="s">
        <v>642</v>
      </c>
      <c r="M15" s="8" t="s">
        <v>179</v>
      </c>
      <c r="N15" s="8" t="s">
        <v>235</v>
      </c>
      <c r="O15" s="55"/>
    </row>
    <row r="16">
      <c r="A16" s="19" t="s">
        <v>927</v>
      </c>
      <c r="B16" s="19" t="s">
        <v>928</v>
      </c>
      <c r="C16" s="19" t="s">
        <v>95</v>
      </c>
      <c r="D16" s="19" t="s">
        <v>929</v>
      </c>
      <c r="E16" s="19" t="s">
        <v>899</v>
      </c>
      <c r="F16" s="19" t="s">
        <v>845</v>
      </c>
      <c r="G16" s="19" t="s">
        <v>110</v>
      </c>
      <c r="H16" s="19" t="s">
        <v>143</v>
      </c>
      <c r="I16" s="19" t="s">
        <v>95</v>
      </c>
      <c r="J16" s="19" t="s">
        <v>858</v>
      </c>
      <c r="K16" s="25" t="str">
        <f>HYPERLINK("https://maxxton.atlassian.net/browse/QA-28937","QA-28937")</f>
        <v>QA-28937</v>
      </c>
      <c r="L16" s="19" t="s">
        <v>642</v>
      </c>
      <c r="M16" s="8" t="s">
        <v>199</v>
      </c>
      <c r="N16" s="8" t="s">
        <v>900</v>
      </c>
      <c r="O16" s="55"/>
    </row>
    <row r="17">
      <c r="A17" s="19" t="s">
        <v>930</v>
      </c>
      <c r="B17" s="19" t="s">
        <v>931</v>
      </c>
      <c r="C17" s="19" t="s">
        <v>95</v>
      </c>
      <c r="D17" s="19" t="s">
        <v>932</v>
      </c>
      <c r="E17" s="19" t="s">
        <v>899</v>
      </c>
      <c r="F17" s="19" t="s">
        <v>845</v>
      </c>
      <c r="G17" s="19" t="s">
        <v>110</v>
      </c>
      <c r="H17" s="19" t="s">
        <v>143</v>
      </c>
      <c r="I17" s="19" t="s">
        <v>95</v>
      </c>
      <c r="J17" s="19" t="s">
        <v>858</v>
      </c>
      <c r="K17" s="25" t="str">
        <f>HYPERLINK("https://maxxton.atlassian.net/browse/QA-28938","QA-28938")</f>
        <v>QA-28938</v>
      </c>
      <c r="L17" s="19" t="s">
        <v>642</v>
      </c>
      <c r="M17" s="8" t="s">
        <v>515</v>
      </c>
      <c r="N17" s="8" t="s">
        <v>136</v>
      </c>
      <c r="O17" s="55"/>
    </row>
    <row r="18">
      <c r="A18" s="19" t="s">
        <v>933</v>
      </c>
      <c r="B18" s="19" t="s">
        <v>934</v>
      </c>
      <c r="C18" s="19" t="s">
        <v>95</v>
      </c>
      <c r="D18" s="19" t="s">
        <v>935</v>
      </c>
      <c r="E18" s="19" t="s">
        <v>899</v>
      </c>
      <c r="F18" s="19" t="s">
        <v>845</v>
      </c>
      <c r="G18" s="19" t="s">
        <v>110</v>
      </c>
      <c r="H18" s="19" t="s">
        <v>143</v>
      </c>
      <c r="I18" s="19" t="s">
        <v>95</v>
      </c>
      <c r="J18" s="19" t="s">
        <v>845</v>
      </c>
      <c r="K18" s="25" t="str">
        <f>HYPERLINK("https://maxxton.atlassian.net/browse/QA-28939","QA-28939")</f>
        <v>QA-28939</v>
      </c>
      <c r="L18" s="19" t="s">
        <v>642</v>
      </c>
      <c r="M18" s="8" t="s">
        <v>199</v>
      </c>
      <c r="N18" s="8" t="s">
        <v>136</v>
      </c>
      <c r="O18" s="56" t="s">
        <v>936</v>
      </c>
    </row>
    <row r="19">
      <c r="A19" s="19" t="s">
        <v>937</v>
      </c>
      <c r="B19" s="19" t="s">
        <v>938</v>
      </c>
      <c r="C19" s="19" t="s">
        <v>95</v>
      </c>
      <c r="D19" s="19" t="s">
        <v>939</v>
      </c>
      <c r="E19" s="19" t="s">
        <v>899</v>
      </c>
      <c r="F19" s="19" t="s">
        <v>845</v>
      </c>
      <c r="G19" s="19" t="s">
        <v>110</v>
      </c>
      <c r="H19" s="19" t="s">
        <v>143</v>
      </c>
      <c r="I19" s="19" t="s">
        <v>95</v>
      </c>
      <c r="J19" s="19" t="s">
        <v>858</v>
      </c>
      <c r="K19" s="25" t="str">
        <f>HYPERLINK("https://maxxton.atlassian.net/browse/QA-28940","QA-28940")</f>
        <v>QA-28940</v>
      </c>
      <c r="L19" s="19" t="s">
        <v>642</v>
      </c>
      <c r="M19" s="8" t="s">
        <v>321</v>
      </c>
      <c r="N19" s="8" t="s">
        <v>321</v>
      </c>
      <c r="O19" s="56" t="s">
        <v>940</v>
      </c>
    </row>
    <row r="20">
      <c r="A20" s="19" t="s">
        <v>941</v>
      </c>
      <c r="B20" s="19" t="s">
        <v>942</v>
      </c>
      <c r="C20" s="19" t="s">
        <v>95</v>
      </c>
      <c r="D20" s="19" t="s">
        <v>943</v>
      </c>
      <c r="E20" s="19" t="s">
        <v>899</v>
      </c>
      <c r="F20" s="19" t="s">
        <v>845</v>
      </c>
      <c r="G20" s="19" t="s">
        <v>110</v>
      </c>
      <c r="H20" s="19" t="s">
        <v>143</v>
      </c>
      <c r="I20" s="19" t="s">
        <v>95</v>
      </c>
      <c r="J20" s="19" t="s">
        <v>858</v>
      </c>
      <c r="K20" s="25" t="str">
        <f>HYPERLINK("https://maxxton.atlassian.net/browse/QA-28941","QA-28941")</f>
        <v>QA-28941</v>
      </c>
      <c r="L20" s="19" t="s">
        <v>642</v>
      </c>
      <c r="M20" s="8" t="s">
        <v>199</v>
      </c>
      <c r="N20" s="8" t="s">
        <v>199</v>
      </c>
      <c r="O20" s="56" t="s">
        <v>944</v>
      </c>
    </row>
    <row r="21">
      <c r="A21" s="19" t="s">
        <v>945</v>
      </c>
      <c r="B21" s="19" t="s">
        <v>946</v>
      </c>
      <c r="C21" s="19" t="s">
        <v>95</v>
      </c>
      <c r="D21" s="19" t="s">
        <v>947</v>
      </c>
      <c r="E21" s="19" t="s">
        <v>899</v>
      </c>
      <c r="F21" s="19" t="s">
        <v>858</v>
      </c>
      <c r="G21" s="19" t="s">
        <v>110</v>
      </c>
      <c r="H21" s="19" t="s">
        <v>143</v>
      </c>
      <c r="I21" s="19" t="s">
        <v>95</v>
      </c>
      <c r="J21" s="19" t="s">
        <v>858</v>
      </c>
      <c r="K21" s="25" t="str">
        <f>HYPERLINK("https://maxxton.atlassian.net/browse/QA-28942","QA-28942")</f>
        <v>QA-28942</v>
      </c>
      <c r="L21" s="19" t="s">
        <v>642</v>
      </c>
      <c r="M21" s="8" t="s">
        <v>315</v>
      </c>
      <c r="N21" s="8" t="s">
        <v>515</v>
      </c>
      <c r="O21" s="55"/>
    </row>
    <row r="22">
      <c r="A22" s="19" t="s">
        <v>948</v>
      </c>
      <c r="B22" s="19" t="s">
        <v>949</v>
      </c>
      <c r="C22" s="19" t="s">
        <v>95</v>
      </c>
      <c r="D22" s="19" t="s">
        <v>950</v>
      </c>
      <c r="E22" s="19" t="s">
        <v>899</v>
      </c>
      <c r="F22" s="19" t="s">
        <v>845</v>
      </c>
      <c r="G22" s="19" t="s">
        <v>110</v>
      </c>
      <c r="H22" s="19" t="s">
        <v>143</v>
      </c>
      <c r="I22" s="19" t="s">
        <v>95</v>
      </c>
      <c r="J22" s="19" t="s">
        <v>845</v>
      </c>
      <c r="K22" s="25" t="str">
        <f>HYPERLINK("https://maxxton.atlassian.net/browse/QA-28943","QA-28943")</f>
        <v>QA-28943</v>
      </c>
      <c r="L22" s="19" t="s">
        <v>642</v>
      </c>
      <c r="M22" s="8" t="s">
        <v>199</v>
      </c>
      <c r="N22" s="8" t="s">
        <v>199</v>
      </c>
      <c r="O22" s="56" t="s">
        <v>951</v>
      </c>
    </row>
    <row r="23">
      <c r="A23" s="19" t="s">
        <v>952</v>
      </c>
      <c r="B23" s="19" t="s">
        <v>953</v>
      </c>
      <c r="C23" s="19" t="s">
        <v>95</v>
      </c>
      <c r="D23" s="19" t="s">
        <v>954</v>
      </c>
      <c r="E23" s="19" t="s">
        <v>899</v>
      </c>
      <c r="F23" s="19" t="s">
        <v>845</v>
      </c>
      <c r="G23" s="19" t="s">
        <v>110</v>
      </c>
      <c r="H23" s="19" t="s">
        <v>143</v>
      </c>
      <c r="I23" s="19" t="s">
        <v>95</v>
      </c>
      <c r="J23" s="19" t="s">
        <v>845</v>
      </c>
      <c r="K23" s="25" t="str">
        <f>HYPERLINK("https://maxxton.atlassian.net/browse/QA-28944","QA-28944")</f>
        <v>QA-28944</v>
      </c>
      <c r="L23" s="19" t="s">
        <v>642</v>
      </c>
      <c r="M23" s="8" t="s">
        <v>199</v>
      </c>
      <c r="N23" s="8" t="s">
        <v>136</v>
      </c>
      <c r="O23" s="55"/>
    </row>
    <row r="24">
      <c r="A24" s="19" t="s">
        <v>955</v>
      </c>
      <c r="B24" s="19" t="s">
        <v>956</v>
      </c>
      <c r="C24" s="19" t="s">
        <v>95</v>
      </c>
      <c r="D24" s="19" t="s">
        <v>954</v>
      </c>
      <c r="E24" s="19" t="s">
        <v>899</v>
      </c>
      <c r="F24" s="19" t="s">
        <v>858</v>
      </c>
      <c r="G24" s="19" t="s">
        <v>110</v>
      </c>
      <c r="H24" s="19" t="s">
        <v>143</v>
      </c>
      <c r="I24" s="19" t="s">
        <v>95</v>
      </c>
      <c r="J24" s="19" t="s">
        <v>845</v>
      </c>
      <c r="K24" s="25" t="str">
        <f>HYPERLINK("https://maxxton.atlassian.net/browse/QA-28945","QA-28945")</f>
        <v>QA-28945</v>
      </c>
      <c r="L24" s="19" t="s">
        <v>642</v>
      </c>
      <c r="M24" s="8" t="s">
        <v>315</v>
      </c>
      <c r="N24" s="8" t="s">
        <v>900</v>
      </c>
      <c r="O24" s="55"/>
    </row>
    <row r="25">
      <c r="A25" s="19" t="s">
        <v>957</v>
      </c>
      <c r="B25" s="19" t="s">
        <v>958</v>
      </c>
      <c r="C25" s="19" t="s">
        <v>95</v>
      </c>
      <c r="D25" s="19" t="s">
        <v>84</v>
      </c>
      <c r="E25" s="19" t="s">
        <v>74</v>
      </c>
      <c r="F25" s="19" t="s">
        <v>845</v>
      </c>
      <c r="G25" s="19" t="s">
        <v>110</v>
      </c>
      <c r="H25" s="19" t="s">
        <v>98</v>
      </c>
      <c r="I25" s="19" t="s">
        <v>95</v>
      </c>
      <c r="J25" s="19" t="s">
        <v>845</v>
      </c>
      <c r="K25" s="19" t="s">
        <v>959</v>
      </c>
      <c r="L25" s="19" t="s">
        <v>960</v>
      </c>
      <c r="O25" s="55"/>
    </row>
    <row r="26">
      <c r="A26" s="19" t="s">
        <v>961</v>
      </c>
      <c r="B26" s="19" t="s">
        <v>962</v>
      </c>
      <c r="C26" s="19" t="s">
        <v>95</v>
      </c>
      <c r="D26" s="19" t="s">
        <v>84</v>
      </c>
      <c r="E26" s="19" t="s">
        <v>74</v>
      </c>
      <c r="F26" s="19" t="s">
        <v>845</v>
      </c>
      <c r="G26" s="19" t="s">
        <v>110</v>
      </c>
      <c r="H26" s="19" t="s">
        <v>143</v>
      </c>
      <c r="I26" s="19" t="s">
        <v>95</v>
      </c>
      <c r="J26" s="19" t="s">
        <v>858</v>
      </c>
      <c r="K26" s="25" t="str">
        <f>HYPERLINK("https://maxxton.atlassian.net/browse/QA-28946","QA-28946")</f>
        <v>QA-28946</v>
      </c>
      <c r="L26" s="19" t="s">
        <v>642</v>
      </c>
      <c r="M26" s="8" t="s">
        <v>225</v>
      </c>
      <c r="N26" s="8" t="s">
        <v>515</v>
      </c>
      <c r="O26" s="55"/>
    </row>
    <row r="27">
      <c r="A27" s="19" t="s">
        <v>963</v>
      </c>
      <c r="B27" s="19" t="s">
        <v>964</v>
      </c>
      <c r="C27" s="19" t="s">
        <v>95</v>
      </c>
      <c r="D27" s="19" t="s">
        <v>84</v>
      </c>
      <c r="E27" s="19" t="s">
        <v>74</v>
      </c>
      <c r="F27" s="19" t="s">
        <v>845</v>
      </c>
      <c r="G27" s="19" t="s">
        <v>110</v>
      </c>
      <c r="H27" s="19" t="s">
        <v>143</v>
      </c>
      <c r="I27" s="19" t="s">
        <v>95</v>
      </c>
      <c r="J27" s="19" t="s">
        <v>858</v>
      </c>
      <c r="K27" s="25" t="str">
        <f>HYPERLINK("https://maxxton.atlassian.net/browse/QA-28947","QA-28947")</f>
        <v>QA-28947</v>
      </c>
      <c r="L27" s="19" t="s">
        <v>642</v>
      </c>
      <c r="M27" s="8" t="s">
        <v>235</v>
      </c>
      <c r="N27" s="8" t="s">
        <v>235</v>
      </c>
      <c r="O27" s="56" t="s">
        <v>965</v>
      </c>
    </row>
    <row r="28">
      <c r="A28" s="19" t="s">
        <v>966</v>
      </c>
      <c r="B28" s="19" t="s">
        <v>967</v>
      </c>
      <c r="C28" s="19" t="s">
        <v>95</v>
      </c>
      <c r="D28" s="19" t="s">
        <v>968</v>
      </c>
      <c r="E28" s="19" t="s">
        <v>899</v>
      </c>
      <c r="F28" s="19" t="s">
        <v>845</v>
      </c>
      <c r="G28" s="19" t="s">
        <v>110</v>
      </c>
      <c r="H28" s="19" t="s">
        <v>143</v>
      </c>
      <c r="I28" s="19" t="s">
        <v>95</v>
      </c>
      <c r="J28" s="19" t="s">
        <v>845</v>
      </c>
      <c r="K28" s="25" t="str">
        <f>HYPERLINK("https://maxxton.atlassian.net/browse/QA-28948","QA-28948")</f>
        <v>QA-28948</v>
      </c>
      <c r="L28" s="19" t="s">
        <v>642</v>
      </c>
      <c r="M28" s="8" t="s">
        <v>199</v>
      </c>
      <c r="N28" s="8" t="s">
        <v>199</v>
      </c>
      <c r="O28" s="56" t="s">
        <v>969</v>
      </c>
    </row>
    <row r="29">
      <c r="A29" s="25" t="str">
        <f>HYPERLINK("https://maxxton.atlassian.net/browse/QA-9482","QA-9482")</f>
        <v>QA-9482</v>
      </c>
      <c r="B29" s="19" t="s">
        <v>970</v>
      </c>
      <c r="C29" s="19" t="s">
        <v>95</v>
      </c>
      <c r="D29" s="19" t="s">
        <v>971</v>
      </c>
      <c r="E29" s="19" t="s">
        <v>899</v>
      </c>
      <c r="F29" s="19" t="s">
        <v>858</v>
      </c>
      <c r="G29" s="19" t="s">
        <v>110</v>
      </c>
      <c r="H29" s="19" t="s">
        <v>143</v>
      </c>
      <c r="I29" s="19" t="s">
        <v>95</v>
      </c>
      <c r="J29" s="19" t="s">
        <v>858</v>
      </c>
      <c r="K29" s="26" t="str">
        <f>HYPERLINK("https://maxxton.atlassian.net/browse/QA-28949","QA-28949")</f>
        <v>QA-28949</v>
      </c>
      <c r="L29" s="19" t="s">
        <v>642</v>
      </c>
      <c r="M29" s="8" t="s">
        <v>199</v>
      </c>
      <c r="N29" s="8" t="s">
        <v>900</v>
      </c>
      <c r="O29" s="55"/>
    </row>
    <row r="30">
      <c r="A30" s="25" t="str">
        <f>HYPERLINK("https://maxxton.atlassian.net/browse/QA-9483","QA-9483")</f>
        <v>QA-9483</v>
      </c>
      <c r="B30" s="19" t="s">
        <v>972</v>
      </c>
      <c r="C30" s="19" t="s">
        <v>95</v>
      </c>
      <c r="D30" s="19" t="s">
        <v>973</v>
      </c>
      <c r="E30" s="19" t="s">
        <v>899</v>
      </c>
      <c r="F30" s="19" t="s">
        <v>858</v>
      </c>
      <c r="G30" s="19" t="s">
        <v>110</v>
      </c>
      <c r="H30" s="19" t="s">
        <v>143</v>
      </c>
      <c r="I30" s="19" t="s">
        <v>95</v>
      </c>
      <c r="J30" s="19" t="s">
        <v>845</v>
      </c>
      <c r="K30" s="26" t="str">
        <f>HYPERLINK("https://maxxton.atlassian.net/browse/QA-28950","QA-28950")</f>
        <v>QA-28950</v>
      </c>
      <c r="L30" s="19" t="s">
        <v>642</v>
      </c>
      <c r="M30" s="8" t="s">
        <v>179</v>
      </c>
      <c r="N30" s="8" t="s">
        <v>315</v>
      </c>
      <c r="O30" s="56" t="s">
        <v>974</v>
      </c>
    </row>
    <row r="31">
      <c r="A31" s="19" t="s">
        <v>975</v>
      </c>
      <c r="B31" s="19" t="s">
        <v>976</v>
      </c>
      <c r="C31" s="19" t="s">
        <v>95</v>
      </c>
      <c r="D31" s="19" t="s">
        <v>947</v>
      </c>
      <c r="E31" s="19" t="s">
        <v>899</v>
      </c>
      <c r="F31" s="19" t="s">
        <v>858</v>
      </c>
      <c r="G31" s="19" t="s">
        <v>136</v>
      </c>
      <c r="H31" s="19" t="s">
        <v>143</v>
      </c>
      <c r="I31" s="19" t="s">
        <v>95</v>
      </c>
      <c r="J31" s="19" t="s">
        <v>858</v>
      </c>
      <c r="K31" s="26" t="str">
        <f>HYPERLINK("https://maxxton.atlassian.net/browse/QA-28951","QA-28951")</f>
        <v>QA-28951</v>
      </c>
      <c r="L31" s="19" t="s">
        <v>642</v>
      </c>
      <c r="M31" s="8" t="s">
        <v>199</v>
      </c>
      <c r="N31" s="8" t="s">
        <v>900</v>
      </c>
      <c r="O31" s="55"/>
    </row>
    <row r="32">
      <c r="A32" s="21"/>
      <c r="B32" s="21"/>
      <c r="C32" s="19"/>
      <c r="D32" s="21"/>
      <c r="E32" s="21"/>
      <c r="F32" s="21"/>
      <c r="G32" s="21"/>
      <c r="H32" s="21"/>
      <c r="I32" s="21"/>
      <c r="J32" s="21"/>
      <c r="K32" s="21"/>
      <c r="L32" s="21"/>
      <c r="O32" s="55"/>
    </row>
    <row r="33">
      <c r="A33" s="21"/>
      <c r="B33" s="21"/>
      <c r="C33" s="19"/>
      <c r="D33" s="21"/>
      <c r="E33" s="21"/>
      <c r="F33" s="21"/>
      <c r="G33" s="21"/>
      <c r="H33" s="21"/>
      <c r="I33" s="21"/>
      <c r="J33" s="21"/>
      <c r="K33" s="21"/>
      <c r="L33" s="21"/>
      <c r="O33" s="55"/>
    </row>
    <row r="34">
      <c r="A34" s="21"/>
      <c r="B34" s="21"/>
      <c r="C34" s="19"/>
      <c r="D34" s="21"/>
      <c r="E34" s="21"/>
      <c r="F34" s="21"/>
      <c r="G34" s="21"/>
      <c r="H34" s="21"/>
      <c r="I34" s="21"/>
      <c r="J34" s="21"/>
      <c r="K34" s="21"/>
      <c r="L34" s="21"/>
      <c r="M34" s="8" t="s">
        <v>977</v>
      </c>
      <c r="N34" s="8" t="s">
        <v>978</v>
      </c>
      <c r="O34" s="55"/>
    </row>
    <row r="35">
      <c r="A35" s="21"/>
      <c r="B35" s="21"/>
      <c r="C35" s="19"/>
      <c r="D35" s="21"/>
      <c r="E35" s="21"/>
      <c r="F35" s="21"/>
      <c r="G35" s="21"/>
      <c r="H35" s="21"/>
      <c r="I35" s="21"/>
      <c r="J35" s="21"/>
      <c r="K35" s="21"/>
      <c r="L35" s="21"/>
      <c r="O35" s="55"/>
    </row>
    <row r="36">
      <c r="A36" s="21"/>
      <c r="B36" s="21"/>
      <c r="C36" s="19"/>
      <c r="D36" s="21"/>
      <c r="E36" s="21"/>
      <c r="F36" s="21"/>
      <c r="G36" s="21"/>
      <c r="H36" s="21"/>
      <c r="I36" s="21"/>
      <c r="J36" s="21"/>
      <c r="K36" s="21"/>
      <c r="L36" s="21"/>
      <c r="O36" s="55"/>
    </row>
    <row r="37">
      <c r="A37" s="21"/>
      <c r="B37" s="21"/>
      <c r="C37" s="19"/>
      <c r="D37" s="21"/>
      <c r="E37" s="21"/>
      <c r="F37" s="21"/>
      <c r="G37" s="21"/>
      <c r="H37" s="21"/>
      <c r="I37" s="21"/>
      <c r="J37" s="21"/>
      <c r="K37" s="21"/>
      <c r="L37" s="21"/>
      <c r="O37" s="55"/>
    </row>
    <row r="38">
      <c r="A38" s="21"/>
      <c r="B38" s="21"/>
      <c r="C38" s="19"/>
      <c r="D38" s="21"/>
      <c r="E38" s="21"/>
      <c r="F38" s="21"/>
      <c r="G38" s="21"/>
      <c r="H38" s="21"/>
      <c r="I38" s="21"/>
      <c r="J38" s="21"/>
      <c r="K38" s="21"/>
      <c r="L38" s="21"/>
      <c r="O38" s="55"/>
    </row>
    <row r="39">
      <c r="A39" s="21"/>
      <c r="B39" s="21"/>
      <c r="C39" s="19"/>
      <c r="D39" s="21"/>
      <c r="E39" s="21"/>
      <c r="F39" s="21"/>
      <c r="G39" s="21"/>
      <c r="H39" s="21"/>
      <c r="I39" s="21"/>
      <c r="J39" s="21"/>
      <c r="K39" s="21"/>
      <c r="L39" s="21"/>
      <c r="O39" s="55"/>
    </row>
    <row r="40">
      <c r="A40" s="21"/>
      <c r="B40" s="21"/>
      <c r="C40" s="19"/>
      <c r="D40" s="21"/>
      <c r="E40" s="21"/>
      <c r="F40" s="21"/>
      <c r="G40" s="21"/>
      <c r="H40" s="21"/>
      <c r="I40" s="21"/>
      <c r="J40" s="21"/>
      <c r="K40" s="21"/>
      <c r="L40" s="21"/>
      <c r="O40" s="55"/>
    </row>
    <row r="41">
      <c r="A41" s="21"/>
      <c r="B41" s="21"/>
      <c r="C41" s="19"/>
      <c r="D41" s="21"/>
      <c r="E41" s="21"/>
      <c r="F41" s="21"/>
      <c r="G41" s="21"/>
      <c r="H41" s="21"/>
      <c r="I41" s="21"/>
      <c r="J41" s="21"/>
      <c r="K41" s="21"/>
      <c r="L41" s="21"/>
      <c r="O41" s="55"/>
    </row>
    <row r="42">
      <c r="A42" s="21"/>
      <c r="B42" s="21"/>
      <c r="C42" s="21"/>
      <c r="D42" s="21"/>
      <c r="E42" s="21"/>
      <c r="F42" s="21"/>
      <c r="G42" s="21"/>
      <c r="H42" s="21"/>
      <c r="I42" s="21"/>
      <c r="J42" s="21"/>
      <c r="K42" s="21"/>
      <c r="L42" s="21"/>
      <c r="O42" s="55"/>
    </row>
    <row r="43">
      <c r="A43" s="21"/>
      <c r="B43" s="21"/>
      <c r="C43" s="21"/>
      <c r="D43" s="21"/>
      <c r="E43" s="21"/>
      <c r="F43" s="21"/>
      <c r="G43" s="21"/>
      <c r="H43" s="21"/>
      <c r="I43" s="21"/>
      <c r="J43" s="21"/>
      <c r="K43" s="21"/>
      <c r="L43" s="21"/>
      <c r="O43" s="55"/>
    </row>
    <row r="44">
      <c r="A44" s="21"/>
      <c r="B44" s="21"/>
      <c r="C44" s="21"/>
      <c r="D44" s="21"/>
      <c r="E44" s="21"/>
      <c r="F44" s="21"/>
      <c r="G44" s="21"/>
      <c r="H44" s="21"/>
      <c r="I44" s="21"/>
      <c r="J44" s="21"/>
      <c r="K44" s="21"/>
      <c r="L44" s="21"/>
      <c r="O44" s="55"/>
    </row>
    <row r="45">
      <c r="A45" s="21"/>
      <c r="B45" s="21"/>
      <c r="C45" s="21"/>
      <c r="D45" s="21"/>
      <c r="E45" s="21"/>
      <c r="F45" s="21"/>
      <c r="G45" s="21"/>
      <c r="H45" s="21"/>
      <c r="I45" s="21"/>
      <c r="J45" s="21"/>
      <c r="K45" s="21"/>
      <c r="L45" s="21"/>
      <c r="O45" s="55"/>
    </row>
    <row r="46">
      <c r="A46" s="21"/>
      <c r="B46" s="21"/>
      <c r="C46" s="21"/>
      <c r="D46" s="21"/>
      <c r="E46" s="21"/>
      <c r="F46" s="21"/>
      <c r="G46" s="21"/>
      <c r="H46" s="21"/>
      <c r="I46" s="21"/>
      <c r="J46" s="21"/>
      <c r="K46" s="21"/>
      <c r="L46" s="21"/>
      <c r="O46" s="55"/>
    </row>
    <row r="47">
      <c r="A47" s="21"/>
      <c r="B47" s="21"/>
      <c r="C47" s="21"/>
      <c r="D47" s="21"/>
      <c r="E47" s="21"/>
      <c r="F47" s="21"/>
      <c r="G47" s="21"/>
      <c r="H47" s="21"/>
      <c r="I47" s="21"/>
      <c r="J47" s="21"/>
      <c r="K47" s="21"/>
      <c r="L47" s="21"/>
      <c r="O47" s="55"/>
    </row>
    <row r="48">
      <c r="A48" s="21"/>
      <c r="B48" s="21"/>
      <c r="C48" s="21"/>
      <c r="D48" s="21"/>
      <c r="E48" s="21"/>
      <c r="F48" s="21"/>
      <c r="G48" s="21"/>
      <c r="H48" s="21"/>
      <c r="I48" s="21"/>
      <c r="J48" s="21"/>
      <c r="K48" s="21"/>
      <c r="L48" s="21"/>
      <c r="O48" s="55"/>
    </row>
    <row r="49">
      <c r="A49" s="21"/>
      <c r="B49" s="21"/>
      <c r="C49" s="21"/>
      <c r="D49" s="21"/>
      <c r="E49" s="21"/>
      <c r="F49" s="21"/>
      <c r="G49" s="21"/>
      <c r="H49" s="21"/>
      <c r="I49" s="21"/>
      <c r="J49" s="21"/>
      <c r="K49" s="21"/>
      <c r="L49" s="21"/>
      <c r="O49" s="55"/>
    </row>
    <row r="50">
      <c r="A50" s="21"/>
      <c r="B50" s="21"/>
      <c r="C50" s="21"/>
      <c r="D50" s="21"/>
      <c r="E50" s="21"/>
      <c r="F50" s="21"/>
      <c r="G50" s="21"/>
      <c r="H50" s="21"/>
      <c r="I50" s="21"/>
      <c r="J50" s="21"/>
      <c r="K50" s="21"/>
      <c r="L50" s="21"/>
      <c r="O50" s="55"/>
    </row>
    <row r="51">
      <c r="A51" s="21"/>
      <c r="B51" s="21"/>
      <c r="C51" s="21"/>
      <c r="D51" s="21"/>
      <c r="E51" s="21"/>
      <c r="F51" s="21"/>
      <c r="G51" s="21"/>
      <c r="H51" s="21"/>
      <c r="I51" s="21"/>
      <c r="J51" s="21"/>
      <c r="K51" s="21"/>
      <c r="L51" s="21"/>
      <c r="O51" s="55"/>
    </row>
    <row r="52">
      <c r="A52" s="21"/>
      <c r="B52" s="21"/>
      <c r="C52" s="21"/>
      <c r="D52" s="21"/>
      <c r="E52" s="21"/>
      <c r="F52" s="21"/>
      <c r="G52" s="21"/>
      <c r="H52" s="21"/>
      <c r="I52" s="21"/>
      <c r="J52" s="21"/>
      <c r="K52" s="21"/>
      <c r="L52" s="21"/>
      <c r="O52" s="55"/>
    </row>
    <row r="53">
      <c r="A53" s="21"/>
      <c r="B53" s="21"/>
      <c r="C53" s="21"/>
      <c r="D53" s="21"/>
      <c r="E53" s="21"/>
      <c r="F53" s="21"/>
      <c r="G53" s="21"/>
      <c r="H53" s="21"/>
      <c r="I53" s="21"/>
      <c r="J53" s="21"/>
      <c r="K53" s="21"/>
      <c r="L53" s="21"/>
      <c r="O53" s="55"/>
    </row>
    <row r="54">
      <c r="A54" s="21"/>
      <c r="B54" s="21"/>
      <c r="C54" s="21"/>
      <c r="D54" s="21"/>
      <c r="E54" s="21"/>
      <c r="F54" s="21"/>
      <c r="G54" s="21"/>
      <c r="H54" s="21"/>
      <c r="I54" s="21"/>
      <c r="J54" s="21"/>
      <c r="K54" s="21"/>
      <c r="L54" s="21"/>
      <c r="O54" s="55"/>
    </row>
    <row r="55">
      <c r="A55" s="21"/>
      <c r="B55" s="21"/>
      <c r="C55" s="21"/>
      <c r="D55" s="21"/>
      <c r="E55" s="21"/>
      <c r="F55" s="21"/>
      <c r="G55" s="21"/>
      <c r="H55" s="21"/>
      <c r="I55" s="21"/>
      <c r="J55" s="21"/>
      <c r="K55" s="21"/>
      <c r="L55" s="21"/>
      <c r="O55" s="55"/>
    </row>
    <row r="56">
      <c r="A56" s="21"/>
      <c r="B56" s="21"/>
      <c r="C56" s="21"/>
      <c r="D56" s="21"/>
      <c r="E56" s="21"/>
      <c r="F56" s="21"/>
      <c r="G56" s="21"/>
      <c r="H56" s="21"/>
      <c r="I56" s="21"/>
      <c r="J56" s="21"/>
      <c r="K56" s="21"/>
      <c r="L56" s="21"/>
      <c r="O56" s="55"/>
    </row>
    <row r="57">
      <c r="A57" s="21"/>
      <c r="B57" s="21"/>
      <c r="C57" s="21"/>
      <c r="D57" s="21"/>
      <c r="E57" s="21"/>
      <c r="F57" s="21"/>
      <c r="G57" s="21"/>
      <c r="H57" s="21"/>
      <c r="I57" s="21"/>
      <c r="J57" s="21"/>
      <c r="K57" s="21"/>
      <c r="L57" s="21"/>
      <c r="O57" s="55"/>
    </row>
    <row r="58">
      <c r="A58" s="21"/>
      <c r="B58" s="21"/>
      <c r="C58" s="21"/>
      <c r="D58" s="21"/>
      <c r="E58" s="21"/>
      <c r="F58" s="21"/>
      <c r="G58" s="21"/>
      <c r="H58" s="21"/>
      <c r="I58" s="21"/>
      <c r="J58" s="21"/>
      <c r="K58" s="21"/>
      <c r="L58" s="21"/>
      <c r="O58" s="55"/>
    </row>
    <row r="59">
      <c r="A59" s="21"/>
      <c r="B59" s="21"/>
      <c r="C59" s="21"/>
      <c r="D59" s="21"/>
      <c r="E59" s="21"/>
      <c r="F59" s="21"/>
      <c r="G59" s="21"/>
      <c r="H59" s="21"/>
      <c r="I59" s="21"/>
      <c r="J59" s="21"/>
      <c r="K59" s="21"/>
      <c r="L59" s="21"/>
      <c r="O59" s="55"/>
    </row>
    <row r="60">
      <c r="A60" s="21"/>
      <c r="B60" s="21"/>
      <c r="C60" s="21"/>
      <c r="D60" s="21"/>
      <c r="E60" s="21"/>
      <c r="F60" s="21"/>
      <c r="G60" s="21"/>
      <c r="H60" s="21"/>
      <c r="I60" s="21"/>
      <c r="J60" s="21"/>
      <c r="K60" s="21"/>
      <c r="L60" s="21"/>
      <c r="O60" s="55"/>
    </row>
    <row r="61">
      <c r="C61" s="21"/>
      <c r="F61" s="24"/>
      <c r="H61" s="24"/>
      <c r="I61" s="24"/>
      <c r="J61" s="24"/>
      <c r="O61" s="55"/>
    </row>
    <row r="62">
      <c r="C62" s="21"/>
      <c r="F62" s="24"/>
      <c r="H62" s="24"/>
      <c r="I62" s="24"/>
      <c r="J62" s="24"/>
      <c r="O62" s="55"/>
    </row>
    <row r="63">
      <c r="C63" s="21"/>
      <c r="F63" s="24"/>
      <c r="H63" s="24"/>
      <c r="I63" s="24"/>
      <c r="J63" s="24"/>
      <c r="O63" s="55"/>
    </row>
    <row r="64">
      <c r="C64" s="21"/>
      <c r="F64" s="24"/>
      <c r="H64" s="24"/>
      <c r="I64" s="24"/>
      <c r="J64" s="24"/>
      <c r="O64" s="55"/>
    </row>
    <row r="65">
      <c r="C65" s="21"/>
      <c r="F65" s="24"/>
      <c r="H65" s="24"/>
      <c r="I65" s="24"/>
      <c r="J65" s="24"/>
      <c r="O65" s="55"/>
    </row>
    <row r="66">
      <c r="C66" s="21"/>
      <c r="F66" s="24"/>
      <c r="H66" s="24"/>
      <c r="I66" s="24"/>
      <c r="J66" s="24"/>
      <c r="O66" s="55"/>
    </row>
    <row r="67">
      <c r="C67" s="21"/>
      <c r="F67" s="24"/>
      <c r="H67" s="24"/>
      <c r="I67" s="24"/>
      <c r="J67" s="24"/>
      <c r="O67" s="55"/>
    </row>
    <row r="68">
      <c r="C68" s="21"/>
      <c r="F68" s="24"/>
      <c r="H68" s="24"/>
      <c r="I68" s="24"/>
      <c r="J68" s="24"/>
      <c r="O68" s="55"/>
    </row>
    <row r="69">
      <c r="C69" s="21"/>
      <c r="F69" s="24"/>
      <c r="H69" s="24"/>
      <c r="I69" s="24"/>
      <c r="J69" s="24"/>
      <c r="O69" s="55"/>
    </row>
    <row r="70">
      <c r="C70" s="21"/>
      <c r="F70" s="24"/>
      <c r="H70" s="24"/>
      <c r="I70" s="24"/>
      <c r="J70" s="24"/>
      <c r="O70" s="55"/>
    </row>
    <row r="71">
      <c r="C71" s="24"/>
      <c r="F71" s="24"/>
      <c r="H71" s="24"/>
      <c r="I71" s="24"/>
      <c r="J71" s="24"/>
      <c r="O71" s="55"/>
    </row>
    <row r="72">
      <c r="C72" s="24"/>
      <c r="F72" s="24"/>
      <c r="H72" s="24"/>
      <c r="I72" s="24"/>
      <c r="J72" s="24"/>
      <c r="O72" s="55"/>
    </row>
    <row r="73">
      <c r="C73" s="24"/>
      <c r="F73" s="24"/>
      <c r="H73" s="24"/>
      <c r="I73" s="24"/>
      <c r="J73" s="24"/>
      <c r="O73" s="55"/>
    </row>
    <row r="74">
      <c r="C74" s="24"/>
      <c r="F74" s="24"/>
      <c r="H74" s="24"/>
      <c r="I74" s="24"/>
      <c r="J74" s="24"/>
      <c r="O74" s="55"/>
    </row>
    <row r="75">
      <c r="C75" s="24"/>
      <c r="F75" s="24"/>
      <c r="H75" s="24"/>
      <c r="I75" s="24"/>
      <c r="J75" s="24"/>
      <c r="O75" s="55"/>
    </row>
    <row r="76">
      <c r="C76" s="24"/>
      <c r="F76" s="24"/>
      <c r="H76" s="24"/>
      <c r="I76" s="24"/>
      <c r="J76" s="24"/>
      <c r="O76" s="55"/>
    </row>
    <row r="77">
      <c r="C77" s="24"/>
      <c r="F77" s="24"/>
      <c r="H77" s="24"/>
      <c r="I77" s="24"/>
      <c r="J77" s="24"/>
      <c r="O77" s="55"/>
    </row>
    <row r="78">
      <c r="C78" s="24"/>
      <c r="F78" s="24"/>
      <c r="H78" s="24"/>
      <c r="I78" s="24"/>
      <c r="J78" s="24"/>
      <c r="O78" s="55"/>
    </row>
    <row r="79">
      <c r="C79" s="24"/>
      <c r="F79" s="24"/>
      <c r="H79" s="24"/>
      <c r="I79" s="24"/>
      <c r="J79" s="24"/>
      <c r="O79" s="55"/>
    </row>
    <row r="80">
      <c r="C80" s="24"/>
      <c r="F80" s="24"/>
      <c r="H80" s="24"/>
      <c r="I80" s="24"/>
      <c r="J80" s="24"/>
      <c r="O80" s="55"/>
    </row>
    <row r="81">
      <c r="C81" s="24"/>
      <c r="F81" s="24"/>
      <c r="H81" s="24"/>
      <c r="I81" s="24"/>
      <c r="J81" s="24"/>
      <c r="O81" s="55"/>
    </row>
    <row r="82">
      <c r="C82" s="24"/>
      <c r="F82" s="24"/>
      <c r="H82" s="24"/>
      <c r="I82" s="24"/>
      <c r="J82" s="24"/>
      <c r="O82" s="55"/>
    </row>
    <row r="83">
      <c r="C83" s="24"/>
      <c r="F83" s="24"/>
      <c r="H83" s="24"/>
      <c r="I83" s="24"/>
      <c r="J83" s="24"/>
      <c r="O83" s="55"/>
    </row>
    <row r="84">
      <c r="C84" s="24"/>
      <c r="F84" s="24"/>
      <c r="H84" s="24"/>
      <c r="I84" s="24"/>
      <c r="J84" s="24"/>
      <c r="O84" s="55"/>
    </row>
    <row r="85">
      <c r="C85" s="24"/>
      <c r="F85" s="24"/>
      <c r="H85" s="24"/>
      <c r="I85" s="24"/>
      <c r="J85" s="24"/>
      <c r="O85" s="55"/>
    </row>
    <row r="86">
      <c r="C86" s="24"/>
      <c r="F86" s="24"/>
      <c r="H86" s="24"/>
      <c r="I86" s="24"/>
      <c r="J86" s="24"/>
      <c r="O86" s="55"/>
    </row>
    <row r="87">
      <c r="C87" s="24"/>
      <c r="F87" s="24"/>
      <c r="H87" s="24"/>
      <c r="I87" s="24"/>
      <c r="J87" s="24"/>
      <c r="O87" s="55"/>
    </row>
    <row r="88">
      <c r="C88" s="24"/>
      <c r="F88" s="24"/>
      <c r="H88" s="24"/>
      <c r="I88" s="24"/>
      <c r="J88" s="24"/>
      <c r="O88" s="55"/>
    </row>
    <row r="89">
      <c r="C89" s="24"/>
      <c r="F89" s="24"/>
      <c r="H89" s="24"/>
      <c r="I89" s="24"/>
      <c r="J89" s="24"/>
      <c r="O89" s="55"/>
    </row>
    <row r="90">
      <c r="C90" s="24"/>
      <c r="F90" s="24"/>
      <c r="H90" s="24"/>
      <c r="I90" s="24"/>
      <c r="J90" s="24"/>
      <c r="O90" s="55"/>
    </row>
    <row r="91">
      <c r="C91" s="24"/>
      <c r="F91" s="24"/>
      <c r="H91" s="24"/>
      <c r="I91" s="24"/>
      <c r="J91" s="24"/>
      <c r="O91" s="55"/>
    </row>
    <row r="92">
      <c r="C92" s="24"/>
      <c r="F92" s="24"/>
      <c r="H92" s="24"/>
      <c r="I92" s="24"/>
      <c r="J92" s="24"/>
      <c r="O92" s="55"/>
    </row>
    <row r="93">
      <c r="C93" s="24"/>
      <c r="F93" s="24"/>
      <c r="H93" s="24"/>
      <c r="I93" s="24"/>
      <c r="J93" s="24"/>
      <c r="O93" s="55"/>
    </row>
    <row r="94">
      <c r="C94" s="24"/>
      <c r="F94" s="24"/>
      <c r="H94" s="24"/>
      <c r="I94" s="24"/>
      <c r="J94" s="24"/>
      <c r="O94" s="55"/>
    </row>
    <row r="95">
      <c r="C95" s="24"/>
      <c r="F95" s="24"/>
      <c r="H95" s="24"/>
      <c r="I95" s="24"/>
      <c r="J95" s="24"/>
      <c r="O95" s="55"/>
    </row>
    <row r="96">
      <c r="C96" s="24"/>
      <c r="F96" s="24"/>
      <c r="H96" s="24"/>
      <c r="I96" s="24"/>
      <c r="J96" s="24"/>
      <c r="O96" s="55"/>
    </row>
    <row r="97">
      <c r="C97" s="24"/>
      <c r="F97" s="24"/>
      <c r="H97" s="24"/>
      <c r="I97" s="24"/>
      <c r="J97" s="24"/>
      <c r="O97" s="55"/>
    </row>
    <row r="98">
      <c r="C98" s="24"/>
      <c r="F98" s="24"/>
      <c r="H98" s="24"/>
      <c r="I98" s="24"/>
      <c r="J98" s="24"/>
      <c r="O98" s="55"/>
    </row>
    <row r="99">
      <c r="C99" s="24"/>
      <c r="F99" s="24"/>
      <c r="H99" s="24"/>
      <c r="I99" s="24"/>
      <c r="J99" s="24"/>
      <c r="O99" s="55"/>
    </row>
    <row r="100">
      <c r="C100" s="24"/>
      <c r="F100" s="24"/>
      <c r="H100" s="24"/>
      <c r="I100" s="24"/>
      <c r="J100" s="24"/>
      <c r="O100" s="55"/>
    </row>
    <row r="101">
      <c r="C101" s="24"/>
      <c r="F101" s="24"/>
      <c r="H101" s="24"/>
      <c r="I101" s="24"/>
      <c r="J101" s="24"/>
      <c r="O101" s="55"/>
    </row>
    <row r="102">
      <c r="C102" s="24"/>
      <c r="F102" s="24"/>
      <c r="H102" s="24"/>
      <c r="I102" s="24"/>
      <c r="J102" s="24"/>
      <c r="O102" s="55"/>
    </row>
    <row r="103">
      <c r="C103" s="24"/>
      <c r="F103" s="24"/>
      <c r="H103" s="24"/>
      <c r="I103" s="24"/>
      <c r="J103" s="24"/>
      <c r="O103" s="55"/>
    </row>
    <row r="104">
      <c r="C104" s="24"/>
      <c r="F104" s="24"/>
      <c r="H104" s="24"/>
      <c r="I104" s="24"/>
      <c r="J104" s="24"/>
      <c r="O104" s="55"/>
    </row>
    <row r="105">
      <c r="C105" s="24"/>
      <c r="F105" s="24"/>
      <c r="H105" s="24"/>
      <c r="I105" s="24"/>
      <c r="J105" s="24"/>
      <c r="O105" s="55"/>
    </row>
    <row r="106">
      <c r="C106" s="24"/>
      <c r="F106" s="24"/>
      <c r="H106" s="24"/>
      <c r="I106" s="24"/>
      <c r="J106" s="24"/>
      <c r="O106" s="55"/>
    </row>
    <row r="107">
      <c r="C107" s="24"/>
      <c r="F107" s="24"/>
      <c r="H107" s="24"/>
      <c r="I107" s="24"/>
      <c r="J107" s="24"/>
      <c r="O107" s="55"/>
    </row>
    <row r="108">
      <c r="C108" s="24"/>
      <c r="F108" s="24"/>
      <c r="H108" s="24"/>
      <c r="I108" s="24"/>
      <c r="J108" s="24"/>
      <c r="O108" s="55"/>
    </row>
    <row r="109">
      <c r="C109" s="24"/>
      <c r="F109" s="24"/>
      <c r="H109" s="24"/>
      <c r="I109" s="24"/>
      <c r="J109" s="24"/>
      <c r="O109" s="55"/>
    </row>
    <row r="110">
      <c r="C110" s="24"/>
      <c r="F110" s="24"/>
      <c r="H110" s="24"/>
      <c r="I110" s="24"/>
      <c r="J110" s="24"/>
      <c r="O110" s="55"/>
    </row>
    <row r="111">
      <c r="C111" s="24"/>
      <c r="F111" s="24"/>
      <c r="H111" s="24"/>
      <c r="I111" s="24"/>
      <c r="J111" s="24"/>
      <c r="O111" s="55"/>
    </row>
    <row r="112">
      <c r="C112" s="24"/>
      <c r="F112" s="24"/>
      <c r="H112" s="24"/>
      <c r="I112" s="24"/>
      <c r="J112" s="24"/>
      <c r="O112" s="55"/>
    </row>
    <row r="113">
      <c r="C113" s="24"/>
      <c r="F113" s="24"/>
      <c r="H113" s="24"/>
      <c r="I113" s="24"/>
      <c r="J113" s="24"/>
      <c r="O113" s="55"/>
    </row>
    <row r="114">
      <c r="C114" s="24"/>
      <c r="F114" s="24"/>
      <c r="H114" s="24"/>
      <c r="I114" s="24"/>
      <c r="J114" s="24"/>
      <c r="O114" s="55"/>
    </row>
    <row r="115">
      <c r="C115" s="24"/>
      <c r="F115" s="24"/>
      <c r="H115" s="24"/>
      <c r="I115" s="24"/>
      <c r="J115" s="24"/>
      <c r="O115" s="55"/>
    </row>
    <row r="116">
      <c r="C116" s="24"/>
      <c r="F116" s="24"/>
      <c r="H116" s="24"/>
      <c r="I116" s="24"/>
      <c r="J116" s="24"/>
      <c r="O116" s="55"/>
    </row>
    <row r="117">
      <c r="C117" s="24"/>
      <c r="F117" s="24"/>
      <c r="H117" s="24"/>
      <c r="I117" s="24"/>
      <c r="J117" s="24"/>
      <c r="O117" s="55"/>
    </row>
    <row r="118">
      <c r="C118" s="24"/>
      <c r="F118" s="24"/>
      <c r="H118" s="24"/>
      <c r="I118" s="24"/>
      <c r="J118" s="24"/>
      <c r="O118" s="55"/>
    </row>
    <row r="119">
      <c r="C119" s="24"/>
      <c r="F119" s="24"/>
      <c r="H119" s="24"/>
      <c r="I119" s="24"/>
      <c r="J119" s="24"/>
      <c r="O119" s="55"/>
    </row>
    <row r="120">
      <c r="C120" s="24"/>
      <c r="F120" s="24"/>
      <c r="H120" s="24"/>
      <c r="I120" s="24"/>
      <c r="J120" s="24"/>
      <c r="O120" s="55"/>
    </row>
    <row r="121">
      <c r="C121" s="24"/>
      <c r="F121" s="24"/>
      <c r="H121" s="24"/>
      <c r="I121" s="24"/>
      <c r="J121" s="24"/>
      <c r="O121" s="55"/>
    </row>
    <row r="122">
      <c r="C122" s="24"/>
      <c r="F122" s="24"/>
      <c r="H122" s="24"/>
      <c r="I122" s="24"/>
      <c r="J122" s="24"/>
      <c r="O122" s="55"/>
    </row>
    <row r="123">
      <c r="C123" s="24"/>
      <c r="F123" s="24"/>
      <c r="H123" s="24"/>
      <c r="I123" s="24"/>
      <c r="J123" s="24"/>
      <c r="O123" s="55"/>
    </row>
    <row r="124">
      <c r="C124" s="24"/>
      <c r="F124" s="24"/>
      <c r="H124" s="24"/>
      <c r="I124" s="24"/>
      <c r="J124" s="24"/>
      <c r="O124" s="55"/>
    </row>
    <row r="125">
      <c r="C125" s="24"/>
      <c r="F125" s="24"/>
      <c r="H125" s="24"/>
      <c r="I125" s="24"/>
      <c r="J125" s="24"/>
      <c r="O125" s="55"/>
    </row>
    <row r="126">
      <c r="C126" s="24"/>
      <c r="F126" s="24"/>
      <c r="H126" s="24"/>
      <c r="I126" s="24"/>
      <c r="J126" s="24"/>
      <c r="O126" s="55"/>
    </row>
    <row r="127">
      <c r="C127" s="24"/>
      <c r="F127" s="24"/>
      <c r="H127" s="24"/>
      <c r="I127" s="24"/>
      <c r="J127" s="24"/>
      <c r="O127" s="55"/>
    </row>
    <row r="128">
      <c r="C128" s="24"/>
      <c r="F128" s="24"/>
      <c r="H128" s="24"/>
      <c r="I128" s="24"/>
      <c r="J128" s="24"/>
      <c r="O128" s="55"/>
    </row>
    <row r="129">
      <c r="C129" s="24"/>
      <c r="F129" s="24"/>
      <c r="H129" s="24"/>
      <c r="I129" s="24"/>
      <c r="J129" s="24"/>
      <c r="O129" s="55"/>
    </row>
    <row r="130">
      <c r="C130" s="24"/>
      <c r="F130" s="24"/>
      <c r="H130" s="24"/>
      <c r="I130" s="24"/>
      <c r="J130" s="24"/>
      <c r="O130" s="55"/>
    </row>
    <row r="131">
      <c r="C131" s="24"/>
      <c r="F131" s="24"/>
      <c r="H131" s="24"/>
      <c r="I131" s="24"/>
      <c r="J131" s="24"/>
      <c r="O131" s="55"/>
    </row>
    <row r="132">
      <c r="C132" s="24"/>
      <c r="F132" s="24"/>
      <c r="H132" s="24"/>
      <c r="I132" s="24"/>
      <c r="J132" s="24"/>
      <c r="O132" s="55"/>
    </row>
    <row r="133">
      <c r="C133" s="24"/>
      <c r="F133" s="24"/>
      <c r="H133" s="24"/>
      <c r="I133" s="24"/>
      <c r="J133" s="24"/>
      <c r="O133" s="55"/>
    </row>
    <row r="134">
      <c r="C134" s="24"/>
      <c r="F134" s="24"/>
      <c r="H134" s="24"/>
      <c r="I134" s="24"/>
      <c r="J134" s="24"/>
      <c r="O134" s="55"/>
    </row>
    <row r="135">
      <c r="C135" s="24"/>
      <c r="F135" s="24"/>
      <c r="H135" s="24"/>
      <c r="I135" s="24"/>
      <c r="J135" s="24"/>
      <c r="O135" s="55"/>
    </row>
    <row r="136">
      <c r="C136" s="24"/>
      <c r="F136" s="24"/>
      <c r="H136" s="24"/>
      <c r="I136" s="24"/>
      <c r="J136" s="24"/>
      <c r="O136" s="55"/>
    </row>
    <row r="137">
      <c r="C137" s="24"/>
      <c r="F137" s="24"/>
      <c r="H137" s="24"/>
      <c r="I137" s="24"/>
      <c r="J137" s="24"/>
      <c r="O137" s="55"/>
    </row>
    <row r="138">
      <c r="C138" s="24"/>
      <c r="F138" s="24"/>
      <c r="H138" s="24"/>
      <c r="I138" s="24"/>
      <c r="J138" s="24"/>
      <c r="O138" s="55"/>
    </row>
    <row r="139">
      <c r="C139" s="24"/>
      <c r="F139" s="24"/>
      <c r="H139" s="24"/>
      <c r="I139" s="24"/>
      <c r="J139" s="24"/>
      <c r="O139" s="55"/>
    </row>
    <row r="140">
      <c r="C140" s="24"/>
      <c r="F140" s="24"/>
      <c r="H140" s="24"/>
      <c r="I140" s="24"/>
      <c r="J140" s="24"/>
      <c r="O140" s="55"/>
    </row>
    <row r="141">
      <c r="C141" s="24"/>
      <c r="F141" s="24"/>
      <c r="H141" s="24"/>
      <c r="I141" s="24"/>
      <c r="J141" s="24"/>
      <c r="O141" s="55"/>
    </row>
    <row r="142">
      <c r="C142" s="24"/>
      <c r="F142" s="24"/>
      <c r="H142" s="24"/>
      <c r="I142" s="24"/>
      <c r="J142" s="24"/>
      <c r="O142" s="55"/>
    </row>
    <row r="143">
      <c r="C143" s="24"/>
      <c r="F143" s="24"/>
      <c r="H143" s="24"/>
      <c r="I143" s="24"/>
      <c r="J143" s="24"/>
      <c r="O143" s="55"/>
    </row>
    <row r="144">
      <c r="C144" s="24"/>
      <c r="F144" s="24"/>
      <c r="H144" s="24"/>
      <c r="I144" s="24"/>
      <c r="J144" s="24"/>
      <c r="O144" s="55"/>
    </row>
    <row r="145">
      <c r="C145" s="24"/>
      <c r="F145" s="24"/>
      <c r="H145" s="24"/>
      <c r="I145" s="24"/>
      <c r="J145" s="24"/>
      <c r="O145" s="55"/>
    </row>
    <row r="146">
      <c r="C146" s="24"/>
      <c r="F146" s="24"/>
      <c r="H146" s="24"/>
      <c r="I146" s="24"/>
      <c r="J146" s="24"/>
      <c r="O146" s="55"/>
    </row>
    <row r="147">
      <c r="C147" s="24"/>
      <c r="F147" s="24"/>
      <c r="H147" s="24"/>
      <c r="I147" s="24"/>
      <c r="J147" s="24"/>
      <c r="O147" s="55"/>
    </row>
    <row r="148">
      <c r="C148" s="24"/>
      <c r="F148" s="24"/>
      <c r="H148" s="24"/>
      <c r="I148" s="24"/>
      <c r="J148" s="24"/>
      <c r="O148" s="55"/>
    </row>
    <row r="149">
      <c r="C149" s="24"/>
      <c r="F149" s="24"/>
      <c r="H149" s="24"/>
      <c r="I149" s="24"/>
      <c r="J149" s="24"/>
      <c r="O149" s="55"/>
    </row>
    <row r="150">
      <c r="C150" s="24"/>
      <c r="F150" s="24"/>
      <c r="H150" s="24"/>
      <c r="I150" s="24"/>
      <c r="J150" s="24"/>
      <c r="O150" s="55"/>
    </row>
    <row r="151">
      <c r="C151" s="24"/>
      <c r="F151" s="24"/>
      <c r="H151" s="24"/>
      <c r="I151" s="24"/>
      <c r="J151" s="24"/>
      <c r="O151" s="55"/>
    </row>
    <row r="152">
      <c r="C152" s="24"/>
      <c r="F152" s="24"/>
      <c r="H152" s="24"/>
      <c r="I152" s="24"/>
      <c r="J152" s="24"/>
      <c r="O152" s="55"/>
    </row>
    <row r="153">
      <c r="C153" s="24"/>
      <c r="F153" s="24"/>
      <c r="H153" s="24"/>
      <c r="I153" s="24"/>
      <c r="J153" s="24"/>
      <c r="O153" s="55"/>
    </row>
    <row r="154">
      <c r="C154" s="24"/>
      <c r="F154" s="24"/>
      <c r="H154" s="24"/>
      <c r="I154" s="24"/>
      <c r="J154" s="24"/>
      <c r="O154" s="55"/>
    </row>
    <row r="155">
      <c r="C155" s="24"/>
      <c r="F155" s="24"/>
      <c r="H155" s="24"/>
      <c r="I155" s="24"/>
      <c r="J155" s="24"/>
      <c r="O155" s="55"/>
    </row>
    <row r="156">
      <c r="C156" s="24"/>
      <c r="F156" s="24"/>
      <c r="H156" s="24"/>
      <c r="I156" s="24"/>
      <c r="J156" s="24"/>
      <c r="O156" s="55"/>
    </row>
    <row r="157">
      <c r="C157" s="24"/>
      <c r="F157" s="24"/>
      <c r="H157" s="24"/>
      <c r="I157" s="24"/>
      <c r="J157" s="24"/>
      <c r="O157" s="55"/>
    </row>
    <row r="158">
      <c r="C158" s="24"/>
      <c r="F158" s="24"/>
      <c r="H158" s="24"/>
      <c r="I158" s="24"/>
      <c r="J158" s="24"/>
      <c r="O158" s="55"/>
    </row>
    <row r="159">
      <c r="C159" s="24"/>
      <c r="F159" s="24"/>
      <c r="H159" s="24"/>
      <c r="I159" s="24"/>
      <c r="J159" s="24"/>
      <c r="O159" s="55"/>
    </row>
    <row r="160">
      <c r="C160" s="24"/>
      <c r="F160" s="24"/>
      <c r="H160" s="24"/>
      <c r="I160" s="24"/>
      <c r="J160" s="24"/>
      <c r="O160" s="55"/>
    </row>
    <row r="161">
      <c r="C161" s="24"/>
      <c r="F161" s="24"/>
      <c r="H161" s="24"/>
      <c r="I161" s="24"/>
      <c r="J161" s="24"/>
      <c r="O161" s="55"/>
    </row>
    <row r="162">
      <c r="C162" s="24"/>
      <c r="F162" s="24"/>
      <c r="H162" s="24"/>
      <c r="I162" s="24"/>
      <c r="J162" s="24"/>
      <c r="O162" s="55"/>
    </row>
    <row r="163">
      <c r="C163" s="24"/>
      <c r="F163" s="24"/>
      <c r="H163" s="24"/>
      <c r="I163" s="24"/>
      <c r="J163" s="24"/>
      <c r="O163" s="55"/>
    </row>
    <row r="164">
      <c r="C164" s="24"/>
      <c r="F164" s="24"/>
      <c r="H164" s="24"/>
      <c r="I164" s="24"/>
      <c r="J164" s="24"/>
      <c r="O164" s="55"/>
    </row>
    <row r="165">
      <c r="C165" s="24"/>
      <c r="F165" s="24"/>
      <c r="H165" s="24"/>
      <c r="I165" s="24"/>
      <c r="J165" s="24"/>
      <c r="O165" s="55"/>
    </row>
    <row r="166">
      <c r="C166" s="24"/>
      <c r="F166" s="24"/>
      <c r="H166" s="24"/>
      <c r="I166" s="24"/>
      <c r="J166" s="24"/>
      <c r="O166" s="55"/>
    </row>
    <row r="167">
      <c r="C167" s="24"/>
      <c r="F167" s="24"/>
      <c r="H167" s="24"/>
      <c r="I167" s="24"/>
      <c r="J167" s="24"/>
      <c r="O167" s="55"/>
    </row>
    <row r="168">
      <c r="C168" s="24"/>
      <c r="F168" s="24"/>
      <c r="H168" s="24"/>
      <c r="I168" s="24"/>
      <c r="J168" s="24"/>
      <c r="O168" s="55"/>
    </row>
    <row r="169">
      <c r="C169" s="24"/>
      <c r="F169" s="24"/>
      <c r="H169" s="24"/>
      <c r="I169" s="24"/>
      <c r="J169" s="24"/>
      <c r="O169" s="55"/>
    </row>
    <row r="170">
      <c r="C170" s="24"/>
      <c r="F170" s="24"/>
      <c r="H170" s="24"/>
      <c r="I170" s="24"/>
      <c r="J170" s="24"/>
      <c r="O170" s="55"/>
    </row>
    <row r="171">
      <c r="C171" s="24"/>
      <c r="F171" s="24"/>
      <c r="H171" s="24"/>
      <c r="I171" s="24"/>
      <c r="J171" s="24"/>
      <c r="O171" s="55"/>
    </row>
    <row r="172">
      <c r="C172" s="24"/>
      <c r="F172" s="24"/>
      <c r="H172" s="24"/>
      <c r="I172" s="24"/>
      <c r="J172" s="24"/>
      <c r="O172" s="55"/>
    </row>
    <row r="173">
      <c r="C173" s="24"/>
      <c r="F173" s="24"/>
      <c r="H173" s="24"/>
      <c r="I173" s="24"/>
      <c r="J173" s="24"/>
      <c r="O173" s="55"/>
    </row>
    <row r="174">
      <c r="C174" s="24"/>
      <c r="F174" s="24"/>
      <c r="H174" s="24"/>
      <c r="I174" s="24"/>
      <c r="J174" s="24"/>
      <c r="O174" s="55"/>
    </row>
    <row r="175">
      <c r="C175" s="24"/>
      <c r="F175" s="24"/>
      <c r="H175" s="24"/>
      <c r="I175" s="24"/>
      <c r="J175" s="24"/>
      <c r="O175" s="55"/>
    </row>
    <row r="176">
      <c r="C176" s="24"/>
      <c r="F176" s="24"/>
      <c r="H176" s="24"/>
      <c r="I176" s="24"/>
      <c r="J176" s="24"/>
      <c r="O176" s="55"/>
    </row>
    <row r="177">
      <c r="C177" s="24"/>
      <c r="F177" s="24"/>
      <c r="H177" s="24"/>
      <c r="I177" s="24"/>
      <c r="J177" s="24"/>
      <c r="O177" s="55"/>
    </row>
    <row r="178">
      <c r="C178" s="24"/>
      <c r="F178" s="24"/>
      <c r="H178" s="24"/>
      <c r="I178" s="24"/>
      <c r="J178" s="24"/>
      <c r="O178" s="55"/>
    </row>
    <row r="179">
      <c r="C179" s="24"/>
      <c r="F179" s="24"/>
      <c r="H179" s="24"/>
      <c r="I179" s="24"/>
      <c r="J179" s="24"/>
      <c r="O179" s="55"/>
    </row>
    <row r="180">
      <c r="C180" s="24"/>
      <c r="F180" s="24"/>
      <c r="H180" s="24"/>
      <c r="I180" s="24"/>
      <c r="J180" s="24"/>
      <c r="O180" s="55"/>
    </row>
    <row r="181">
      <c r="C181" s="24"/>
      <c r="F181" s="24"/>
      <c r="H181" s="24"/>
      <c r="I181" s="24"/>
      <c r="J181" s="24"/>
      <c r="O181" s="55"/>
    </row>
    <row r="182">
      <c r="C182" s="24"/>
      <c r="F182" s="24"/>
      <c r="H182" s="24"/>
      <c r="I182" s="24"/>
      <c r="J182" s="24"/>
      <c r="O182" s="55"/>
    </row>
    <row r="183">
      <c r="C183" s="24"/>
      <c r="F183" s="24"/>
      <c r="H183" s="24"/>
      <c r="I183" s="24"/>
      <c r="J183" s="24"/>
      <c r="O183" s="55"/>
    </row>
    <row r="184">
      <c r="C184" s="24"/>
      <c r="F184" s="24"/>
      <c r="H184" s="24"/>
      <c r="I184" s="24"/>
      <c r="J184" s="24"/>
      <c r="O184" s="55"/>
    </row>
    <row r="185">
      <c r="C185" s="24"/>
      <c r="F185" s="24"/>
      <c r="H185" s="24"/>
      <c r="I185" s="24"/>
      <c r="J185" s="24"/>
      <c r="O185" s="55"/>
    </row>
    <row r="186">
      <c r="C186" s="24"/>
      <c r="F186" s="24"/>
      <c r="H186" s="24"/>
      <c r="I186" s="24"/>
      <c r="J186" s="24"/>
      <c r="O186" s="55"/>
    </row>
    <row r="187">
      <c r="C187" s="24"/>
      <c r="F187" s="24"/>
      <c r="H187" s="24"/>
      <c r="I187" s="24"/>
      <c r="J187" s="24"/>
      <c r="O187" s="55"/>
    </row>
    <row r="188">
      <c r="C188" s="24"/>
      <c r="F188" s="24"/>
      <c r="H188" s="24"/>
      <c r="I188" s="24"/>
      <c r="J188" s="24"/>
      <c r="O188" s="55"/>
    </row>
    <row r="189">
      <c r="C189" s="24"/>
      <c r="F189" s="24"/>
      <c r="H189" s="24"/>
      <c r="I189" s="24"/>
      <c r="J189" s="24"/>
      <c r="O189" s="55"/>
    </row>
    <row r="190">
      <c r="C190" s="24"/>
      <c r="F190" s="24"/>
      <c r="H190" s="24"/>
      <c r="I190" s="24"/>
      <c r="J190" s="24"/>
      <c r="O190" s="55"/>
    </row>
    <row r="191">
      <c r="C191" s="24"/>
      <c r="F191" s="24"/>
      <c r="H191" s="24"/>
      <c r="I191" s="24"/>
      <c r="J191" s="24"/>
      <c r="O191" s="55"/>
    </row>
    <row r="192">
      <c r="C192" s="24"/>
      <c r="F192" s="24"/>
      <c r="H192" s="24"/>
      <c r="I192" s="24"/>
      <c r="J192" s="24"/>
      <c r="O192" s="55"/>
    </row>
    <row r="193">
      <c r="C193" s="24"/>
      <c r="F193" s="24"/>
      <c r="H193" s="24"/>
      <c r="I193" s="24"/>
      <c r="J193" s="24"/>
      <c r="O193" s="55"/>
    </row>
    <row r="194">
      <c r="C194" s="24"/>
      <c r="F194" s="24"/>
      <c r="H194" s="24"/>
      <c r="I194" s="24"/>
      <c r="J194" s="24"/>
      <c r="O194" s="55"/>
    </row>
    <row r="195">
      <c r="C195" s="24"/>
      <c r="F195" s="24"/>
      <c r="H195" s="24"/>
      <c r="I195" s="24"/>
      <c r="J195" s="24"/>
      <c r="O195" s="55"/>
    </row>
    <row r="196">
      <c r="C196" s="24"/>
      <c r="F196" s="24"/>
      <c r="H196" s="24"/>
      <c r="I196" s="24"/>
      <c r="J196" s="24"/>
      <c r="O196" s="55"/>
    </row>
    <row r="197">
      <c r="C197" s="24"/>
      <c r="F197" s="24"/>
      <c r="H197" s="24"/>
      <c r="I197" s="24"/>
      <c r="J197" s="24"/>
      <c r="O197" s="55"/>
    </row>
    <row r="198">
      <c r="C198" s="24"/>
      <c r="F198" s="24"/>
      <c r="H198" s="24"/>
      <c r="I198" s="24"/>
      <c r="J198" s="24"/>
      <c r="O198" s="55"/>
    </row>
    <row r="199">
      <c r="C199" s="24"/>
      <c r="F199" s="24"/>
      <c r="H199" s="24"/>
      <c r="I199" s="24"/>
      <c r="J199" s="24"/>
      <c r="O199" s="55"/>
    </row>
    <row r="200">
      <c r="C200" s="24"/>
      <c r="F200" s="24"/>
      <c r="H200" s="24"/>
      <c r="I200" s="24"/>
      <c r="J200" s="24"/>
      <c r="O200" s="55"/>
    </row>
    <row r="201">
      <c r="C201" s="24"/>
      <c r="F201" s="24"/>
      <c r="H201" s="24"/>
      <c r="I201" s="24"/>
      <c r="J201" s="24"/>
      <c r="O201" s="55"/>
    </row>
    <row r="202">
      <c r="C202" s="24"/>
      <c r="F202" s="24"/>
      <c r="H202" s="24"/>
      <c r="I202" s="24"/>
      <c r="J202" s="24"/>
      <c r="O202" s="55"/>
    </row>
    <row r="203">
      <c r="C203" s="24"/>
      <c r="F203" s="24"/>
      <c r="H203" s="24"/>
      <c r="I203" s="24"/>
      <c r="J203" s="24"/>
      <c r="O203" s="55"/>
    </row>
    <row r="204">
      <c r="C204" s="24"/>
      <c r="F204" s="24"/>
      <c r="H204" s="24"/>
      <c r="I204" s="24"/>
      <c r="J204" s="24"/>
      <c r="O204" s="55"/>
    </row>
    <row r="205">
      <c r="C205" s="24"/>
      <c r="F205" s="24"/>
      <c r="H205" s="24"/>
      <c r="I205" s="24"/>
      <c r="J205" s="24"/>
      <c r="O205" s="55"/>
    </row>
    <row r="206">
      <c r="C206" s="24"/>
      <c r="F206" s="24"/>
      <c r="H206" s="24"/>
      <c r="I206" s="24"/>
      <c r="J206" s="24"/>
      <c r="O206" s="55"/>
    </row>
    <row r="207">
      <c r="C207" s="24"/>
      <c r="F207" s="24"/>
      <c r="H207" s="24"/>
      <c r="I207" s="24"/>
      <c r="J207" s="24"/>
      <c r="O207" s="55"/>
    </row>
    <row r="208">
      <c r="C208" s="24"/>
      <c r="F208" s="24"/>
      <c r="H208" s="24"/>
      <c r="I208" s="24"/>
      <c r="J208" s="24"/>
      <c r="O208" s="55"/>
    </row>
    <row r="209">
      <c r="C209" s="24"/>
      <c r="F209" s="24"/>
      <c r="H209" s="24"/>
      <c r="I209" s="24"/>
      <c r="J209" s="24"/>
      <c r="O209" s="55"/>
    </row>
    <row r="210">
      <c r="C210" s="24"/>
      <c r="F210" s="24"/>
      <c r="H210" s="24"/>
      <c r="I210" s="24"/>
      <c r="J210" s="24"/>
      <c r="O210" s="55"/>
    </row>
    <row r="211">
      <c r="C211" s="24"/>
      <c r="F211" s="24"/>
      <c r="H211" s="24"/>
      <c r="I211" s="24"/>
      <c r="J211" s="24"/>
      <c r="O211" s="55"/>
    </row>
    <row r="212">
      <c r="C212" s="24"/>
      <c r="F212" s="24"/>
      <c r="H212" s="24"/>
      <c r="I212" s="24"/>
      <c r="J212" s="24"/>
      <c r="O212" s="55"/>
    </row>
    <row r="213">
      <c r="C213" s="24"/>
      <c r="F213" s="24"/>
      <c r="H213" s="24"/>
      <c r="I213" s="24"/>
      <c r="J213" s="24"/>
      <c r="O213" s="55"/>
    </row>
    <row r="214">
      <c r="C214" s="24"/>
      <c r="F214" s="24"/>
      <c r="H214" s="24"/>
      <c r="I214" s="24"/>
      <c r="J214" s="24"/>
      <c r="O214" s="55"/>
    </row>
    <row r="215">
      <c r="C215" s="24"/>
      <c r="F215" s="24"/>
      <c r="H215" s="24"/>
      <c r="I215" s="24"/>
      <c r="J215" s="24"/>
      <c r="O215" s="55"/>
    </row>
    <row r="216">
      <c r="C216" s="24"/>
      <c r="F216" s="24"/>
      <c r="H216" s="24"/>
      <c r="I216" s="24"/>
      <c r="J216" s="24"/>
      <c r="O216" s="55"/>
    </row>
    <row r="217">
      <c r="C217" s="24"/>
      <c r="F217" s="24"/>
      <c r="H217" s="24"/>
      <c r="I217" s="24"/>
      <c r="J217" s="24"/>
      <c r="O217" s="55"/>
    </row>
    <row r="218">
      <c r="C218" s="24"/>
      <c r="F218" s="24"/>
      <c r="H218" s="24"/>
      <c r="I218" s="24"/>
      <c r="J218" s="24"/>
      <c r="O218" s="55"/>
    </row>
    <row r="219">
      <c r="C219" s="24"/>
      <c r="F219" s="24"/>
      <c r="H219" s="24"/>
      <c r="I219" s="24"/>
      <c r="J219" s="24"/>
      <c r="O219" s="55"/>
    </row>
    <row r="220">
      <c r="C220" s="24"/>
      <c r="F220" s="24"/>
      <c r="H220" s="24"/>
      <c r="I220" s="24"/>
      <c r="J220" s="24"/>
      <c r="O220" s="55"/>
    </row>
    <row r="221">
      <c r="C221" s="24"/>
      <c r="F221" s="24"/>
      <c r="H221" s="24"/>
      <c r="I221" s="24"/>
      <c r="J221" s="24"/>
      <c r="O221" s="55"/>
    </row>
    <row r="222">
      <c r="C222" s="24"/>
      <c r="F222" s="24"/>
      <c r="H222" s="24"/>
      <c r="I222" s="24"/>
      <c r="J222" s="24"/>
      <c r="O222" s="55"/>
    </row>
    <row r="223">
      <c r="C223" s="24"/>
      <c r="F223" s="24"/>
      <c r="H223" s="24"/>
      <c r="I223" s="24"/>
      <c r="J223" s="24"/>
      <c r="O223" s="55"/>
    </row>
    <row r="224">
      <c r="C224" s="24"/>
      <c r="F224" s="24"/>
      <c r="H224" s="24"/>
      <c r="I224" s="24"/>
      <c r="J224" s="24"/>
      <c r="O224" s="55"/>
    </row>
    <row r="225">
      <c r="C225" s="24"/>
      <c r="F225" s="24"/>
      <c r="H225" s="24"/>
      <c r="I225" s="24"/>
      <c r="J225" s="24"/>
      <c r="O225" s="55"/>
    </row>
    <row r="226">
      <c r="C226" s="24"/>
      <c r="F226" s="24"/>
      <c r="H226" s="24"/>
      <c r="I226" s="24"/>
      <c r="J226" s="24"/>
      <c r="O226" s="55"/>
    </row>
    <row r="227">
      <c r="C227" s="24"/>
      <c r="F227" s="24"/>
      <c r="H227" s="24"/>
      <c r="I227" s="24"/>
      <c r="J227" s="24"/>
      <c r="O227" s="55"/>
    </row>
    <row r="228">
      <c r="C228" s="24"/>
      <c r="F228" s="24"/>
      <c r="H228" s="24"/>
      <c r="I228" s="24"/>
      <c r="J228" s="24"/>
      <c r="O228" s="55"/>
    </row>
    <row r="229">
      <c r="C229" s="24"/>
      <c r="F229" s="24"/>
      <c r="H229" s="24"/>
      <c r="I229" s="24"/>
      <c r="J229" s="24"/>
      <c r="O229" s="55"/>
    </row>
    <row r="230">
      <c r="C230" s="24"/>
      <c r="F230" s="24"/>
      <c r="H230" s="24"/>
      <c r="I230" s="24"/>
      <c r="J230" s="24"/>
      <c r="O230" s="55"/>
    </row>
    <row r="231">
      <c r="C231" s="24"/>
      <c r="F231" s="24"/>
      <c r="H231" s="24"/>
      <c r="I231" s="24"/>
      <c r="J231" s="24"/>
      <c r="O231" s="55"/>
    </row>
    <row r="232">
      <c r="C232" s="24"/>
      <c r="F232" s="24"/>
      <c r="H232" s="24"/>
      <c r="I232" s="24"/>
      <c r="J232" s="24"/>
      <c r="O232" s="55"/>
    </row>
    <row r="233">
      <c r="C233" s="24"/>
      <c r="F233" s="24"/>
      <c r="H233" s="24"/>
      <c r="I233" s="24"/>
      <c r="J233" s="24"/>
      <c r="O233" s="55"/>
    </row>
    <row r="234">
      <c r="C234" s="24"/>
      <c r="F234" s="24"/>
      <c r="H234" s="24"/>
      <c r="I234" s="24"/>
      <c r="J234" s="24"/>
      <c r="O234" s="55"/>
    </row>
    <row r="235">
      <c r="C235" s="24"/>
      <c r="F235" s="24"/>
      <c r="H235" s="24"/>
      <c r="I235" s="24"/>
      <c r="J235" s="24"/>
      <c r="O235" s="55"/>
    </row>
    <row r="236">
      <c r="C236" s="24"/>
      <c r="F236" s="24"/>
      <c r="H236" s="24"/>
      <c r="I236" s="24"/>
      <c r="J236" s="24"/>
      <c r="O236" s="55"/>
    </row>
    <row r="237">
      <c r="C237" s="24"/>
      <c r="F237" s="24"/>
      <c r="H237" s="24"/>
      <c r="I237" s="24"/>
      <c r="J237" s="24"/>
      <c r="O237" s="55"/>
    </row>
    <row r="238">
      <c r="C238" s="24"/>
      <c r="F238" s="24"/>
      <c r="H238" s="24"/>
      <c r="I238" s="24"/>
      <c r="J238" s="24"/>
      <c r="O238" s="55"/>
    </row>
    <row r="239">
      <c r="C239" s="24"/>
      <c r="F239" s="24"/>
      <c r="H239" s="24"/>
      <c r="I239" s="24"/>
      <c r="J239" s="24"/>
      <c r="O239" s="55"/>
    </row>
    <row r="240">
      <c r="C240" s="24"/>
      <c r="F240" s="24"/>
      <c r="H240" s="24"/>
      <c r="I240" s="24"/>
      <c r="J240" s="24"/>
      <c r="O240" s="55"/>
    </row>
    <row r="241">
      <c r="C241" s="24"/>
      <c r="F241" s="24"/>
      <c r="H241" s="24"/>
      <c r="I241" s="24"/>
      <c r="J241" s="24"/>
      <c r="O241" s="55"/>
    </row>
    <row r="242">
      <c r="C242" s="24"/>
      <c r="F242" s="24"/>
      <c r="H242" s="24"/>
      <c r="I242" s="24"/>
      <c r="J242" s="24"/>
      <c r="O242" s="55"/>
    </row>
    <row r="243">
      <c r="C243" s="24"/>
      <c r="F243" s="24"/>
      <c r="H243" s="24"/>
      <c r="I243" s="24"/>
      <c r="J243" s="24"/>
      <c r="O243" s="55"/>
    </row>
    <row r="244">
      <c r="C244" s="24"/>
      <c r="F244" s="24"/>
      <c r="H244" s="24"/>
      <c r="I244" s="24"/>
      <c r="J244" s="24"/>
      <c r="O244" s="55"/>
    </row>
    <row r="245">
      <c r="C245" s="24"/>
      <c r="F245" s="24"/>
      <c r="H245" s="24"/>
      <c r="I245" s="24"/>
      <c r="J245" s="24"/>
      <c r="O245" s="55"/>
    </row>
    <row r="246">
      <c r="C246" s="24"/>
      <c r="F246" s="24"/>
      <c r="H246" s="24"/>
      <c r="I246" s="24"/>
      <c r="J246" s="24"/>
      <c r="O246" s="55"/>
    </row>
    <row r="247">
      <c r="C247" s="24"/>
      <c r="F247" s="24"/>
      <c r="H247" s="24"/>
      <c r="I247" s="24"/>
      <c r="J247" s="24"/>
      <c r="O247" s="55"/>
    </row>
    <row r="248">
      <c r="C248" s="24"/>
      <c r="F248" s="24"/>
      <c r="H248" s="24"/>
      <c r="I248" s="24"/>
      <c r="J248" s="24"/>
      <c r="O248" s="55"/>
    </row>
    <row r="249">
      <c r="C249" s="24"/>
      <c r="F249" s="24"/>
      <c r="H249" s="24"/>
      <c r="I249" s="24"/>
      <c r="J249" s="24"/>
      <c r="O249" s="55"/>
    </row>
    <row r="250">
      <c r="C250" s="24"/>
      <c r="F250" s="24"/>
      <c r="H250" s="24"/>
      <c r="I250" s="24"/>
      <c r="J250" s="24"/>
      <c r="O250" s="55"/>
    </row>
    <row r="251">
      <c r="C251" s="24"/>
      <c r="F251" s="24"/>
      <c r="H251" s="24"/>
      <c r="I251" s="24"/>
      <c r="J251" s="24"/>
      <c r="O251" s="55"/>
    </row>
    <row r="252">
      <c r="C252" s="24"/>
      <c r="F252" s="24"/>
      <c r="H252" s="24"/>
      <c r="I252" s="24"/>
      <c r="J252" s="24"/>
      <c r="O252" s="55"/>
    </row>
    <row r="253">
      <c r="C253" s="24"/>
      <c r="F253" s="24"/>
      <c r="H253" s="24"/>
      <c r="I253" s="24"/>
      <c r="J253" s="24"/>
      <c r="O253" s="55"/>
    </row>
    <row r="254">
      <c r="C254" s="24"/>
      <c r="F254" s="24"/>
      <c r="H254" s="24"/>
      <c r="I254" s="24"/>
      <c r="J254" s="24"/>
      <c r="O254" s="55"/>
    </row>
    <row r="255">
      <c r="C255" s="24"/>
      <c r="F255" s="24"/>
      <c r="H255" s="24"/>
      <c r="I255" s="24"/>
      <c r="J255" s="24"/>
      <c r="O255" s="55"/>
    </row>
    <row r="256">
      <c r="C256" s="24"/>
      <c r="F256" s="24"/>
      <c r="H256" s="24"/>
      <c r="I256" s="24"/>
      <c r="J256" s="24"/>
      <c r="O256" s="55"/>
    </row>
    <row r="257">
      <c r="C257" s="24"/>
      <c r="F257" s="24"/>
      <c r="H257" s="24"/>
      <c r="I257" s="24"/>
      <c r="J257" s="24"/>
      <c r="O257" s="55"/>
    </row>
    <row r="258">
      <c r="C258" s="24"/>
      <c r="F258" s="24"/>
      <c r="H258" s="24"/>
      <c r="I258" s="24"/>
      <c r="J258" s="24"/>
      <c r="O258" s="55"/>
    </row>
    <row r="259">
      <c r="C259" s="24"/>
      <c r="F259" s="24"/>
      <c r="H259" s="24"/>
      <c r="I259" s="24"/>
      <c r="J259" s="24"/>
      <c r="O259" s="55"/>
    </row>
    <row r="260">
      <c r="C260" s="24"/>
      <c r="F260" s="24"/>
      <c r="H260" s="24"/>
      <c r="I260" s="24"/>
      <c r="J260" s="24"/>
      <c r="O260" s="55"/>
    </row>
    <row r="261">
      <c r="C261" s="24"/>
      <c r="F261" s="24"/>
      <c r="H261" s="24"/>
      <c r="I261" s="24"/>
      <c r="J261" s="24"/>
      <c r="O261" s="55"/>
    </row>
    <row r="262">
      <c r="C262" s="24"/>
      <c r="F262" s="24"/>
      <c r="H262" s="24"/>
      <c r="I262" s="24"/>
      <c r="J262" s="24"/>
      <c r="O262" s="55"/>
    </row>
    <row r="263">
      <c r="C263" s="24"/>
      <c r="F263" s="24"/>
      <c r="H263" s="24"/>
      <c r="I263" s="24"/>
      <c r="J263" s="24"/>
      <c r="O263" s="55"/>
    </row>
    <row r="264">
      <c r="C264" s="24"/>
      <c r="F264" s="24"/>
      <c r="H264" s="24"/>
      <c r="I264" s="24"/>
      <c r="J264" s="24"/>
      <c r="O264" s="55"/>
    </row>
    <row r="265">
      <c r="C265" s="24"/>
      <c r="F265" s="24"/>
      <c r="H265" s="24"/>
      <c r="I265" s="24"/>
      <c r="J265" s="24"/>
      <c r="O265" s="55"/>
    </row>
    <row r="266">
      <c r="C266" s="24"/>
      <c r="F266" s="24"/>
      <c r="H266" s="24"/>
      <c r="I266" s="24"/>
      <c r="J266" s="24"/>
      <c r="O266" s="55"/>
    </row>
    <row r="267">
      <c r="C267" s="24"/>
      <c r="F267" s="24"/>
      <c r="H267" s="24"/>
      <c r="I267" s="24"/>
      <c r="J267" s="24"/>
      <c r="O267" s="55"/>
    </row>
    <row r="268">
      <c r="C268" s="24"/>
      <c r="F268" s="24"/>
      <c r="H268" s="24"/>
      <c r="I268" s="24"/>
      <c r="J268" s="24"/>
      <c r="O268" s="55"/>
    </row>
    <row r="269">
      <c r="C269" s="24"/>
      <c r="F269" s="24"/>
      <c r="H269" s="24"/>
      <c r="I269" s="24"/>
      <c r="J269" s="24"/>
      <c r="O269" s="55"/>
    </row>
    <row r="270">
      <c r="C270" s="24"/>
      <c r="F270" s="24"/>
      <c r="H270" s="24"/>
      <c r="I270" s="24"/>
      <c r="J270" s="24"/>
      <c r="O270" s="55"/>
    </row>
    <row r="271">
      <c r="C271" s="24"/>
      <c r="F271" s="24"/>
      <c r="H271" s="24"/>
      <c r="I271" s="24"/>
      <c r="J271" s="24"/>
      <c r="O271" s="55"/>
    </row>
    <row r="272">
      <c r="C272" s="24"/>
      <c r="F272" s="24"/>
      <c r="H272" s="24"/>
      <c r="I272" s="24"/>
      <c r="J272" s="24"/>
      <c r="O272" s="55"/>
    </row>
    <row r="273">
      <c r="C273" s="24"/>
      <c r="F273" s="24"/>
      <c r="H273" s="24"/>
      <c r="I273" s="24"/>
      <c r="J273" s="24"/>
      <c r="O273" s="55"/>
    </row>
    <row r="274">
      <c r="C274" s="24"/>
      <c r="F274" s="24"/>
      <c r="H274" s="24"/>
      <c r="I274" s="24"/>
      <c r="J274" s="24"/>
      <c r="O274" s="55"/>
    </row>
    <row r="275">
      <c r="C275" s="24"/>
      <c r="F275" s="24"/>
      <c r="H275" s="24"/>
      <c r="I275" s="24"/>
      <c r="J275" s="24"/>
      <c r="O275" s="55"/>
    </row>
    <row r="276">
      <c r="C276" s="24"/>
      <c r="F276" s="24"/>
      <c r="H276" s="24"/>
      <c r="I276" s="24"/>
      <c r="J276" s="24"/>
      <c r="O276" s="55"/>
    </row>
    <row r="277">
      <c r="C277" s="24"/>
      <c r="F277" s="24"/>
      <c r="H277" s="24"/>
      <c r="I277" s="24"/>
      <c r="J277" s="24"/>
      <c r="O277" s="55"/>
    </row>
    <row r="278">
      <c r="C278" s="24"/>
      <c r="F278" s="24"/>
      <c r="H278" s="24"/>
      <c r="I278" s="24"/>
      <c r="J278" s="24"/>
      <c r="O278" s="55"/>
    </row>
    <row r="279">
      <c r="C279" s="24"/>
      <c r="F279" s="24"/>
      <c r="H279" s="24"/>
      <c r="I279" s="24"/>
      <c r="J279" s="24"/>
      <c r="O279" s="55"/>
    </row>
    <row r="280">
      <c r="C280" s="24"/>
      <c r="F280" s="24"/>
      <c r="H280" s="24"/>
      <c r="I280" s="24"/>
      <c r="J280" s="24"/>
      <c r="O280" s="55"/>
    </row>
    <row r="281">
      <c r="C281" s="24"/>
      <c r="F281" s="24"/>
      <c r="H281" s="24"/>
      <c r="I281" s="24"/>
      <c r="J281" s="24"/>
      <c r="O281" s="55"/>
    </row>
    <row r="282">
      <c r="C282" s="24"/>
      <c r="F282" s="24"/>
      <c r="H282" s="24"/>
      <c r="I282" s="24"/>
      <c r="J282" s="24"/>
      <c r="O282" s="55"/>
    </row>
    <row r="283">
      <c r="C283" s="24"/>
      <c r="F283" s="24"/>
      <c r="H283" s="24"/>
      <c r="I283" s="24"/>
      <c r="J283" s="24"/>
      <c r="O283" s="55"/>
    </row>
    <row r="284">
      <c r="C284" s="24"/>
      <c r="F284" s="24"/>
      <c r="H284" s="24"/>
      <c r="I284" s="24"/>
      <c r="J284" s="24"/>
      <c r="O284" s="55"/>
    </row>
    <row r="285">
      <c r="C285" s="24"/>
      <c r="F285" s="24"/>
      <c r="H285" s="24"/>
      <c r="I285" s="24"/>
      <c r="J285" s="24"/>
      <c r="O285" s="55"/>
    </row>
    <row r="286">
      <c r="C286" s="24"/>
      <c r="F286" s="24"/>
      <c r="H286" s="24"/>
      <c r="I286" s="24"/>
      <c r="J286" s="24"/>
      <c r="O286" s="55"/>
    </row>
    <row r="287">
      <c r="C287" s="24"/>
      <c r="F287" s="24"/>
      <c r="H287" s="24"/>
      <c r="I287" s="24"/>
      <c r="J287" s="24"/>
      <c r="O287" s="55"/>
    </row>
    <row r="288">
      <c r="C288" s="24"/>
      <c r="F288" s="24"/>
      <c r="H288" s="24"/>
      <c r="I288" s="24"/>
      <c r="J288" s="24"/>
      <c r="O288" s="55"/>
    </row>
    <row r="289">
      <c r="C289" s="24"/>
      <c r="F289" s="24"/>
      <c r="H289" s="24"/>
      <c r="I289" s="24"/>
      <c r="J289" s="24"/>
      <c r="O289" s="55"/>
    </row>
    <row r="290">
      <c r="C290" s="24"/>
      <c r="F290" s="24"/>
      <c r="H290" s="24"/>
      <c r="I290" s="24"/>
      <c r="J290" s="24"/>
      <c r="O290" s="55"/>
    </row>
    <row r="291">
      <c r="C291" s="24"/>
      <c r="F291" s="24"/>
      <c r="H291" s="24"/>
      <c r="I291" s="24"/>
      <c r="J291" s="24"/>
      <c r="O291" s="55"/>
    </row>
    <row r="292">
      <c r="C292" s="24"/>
      <c r="F292" s="24"/>
      <c r="H292" s="24"/>
      <c r="I292" s="24"/>
      <c r="J292" s="24"/>
      <c r="O292" s="55"/>
    </row>
    <row r="293">
      <c r="C293" s="24"/>
      <c r="F293" s="24"/>
      <c r="H293" s="24"/>
      <c r="I293" s="24"/>
      <c r="J293" s="24"/>
      <c r="O293" s="55"/>
    </row>
    <row r="294">
      <c r="C294" s="24"/>
      <c r="F294" s="24"/>
      <c r="H294" s="24"/>
      <c r="I294" s="24"/>
      <c r="J294" s="24"/>
      <c r="O294" s="55"/>
    </row>
    <row r="295">
      <c r="C295" s="24"/>
      <c r="F295" s="24"/>
      <c r="H295" s="24"/>
      <c r="I295" s="24"/>
      <c r="J295" s="24"/>
      <c r="O295" s="55"/>
    </row>
    <row r="296">
      <c r="C296" s="24"/>
      <c r="F296" s="24"/>
      <c r="H296" s="24"/>
      <c r="I296" s="24"/>
      <c r="J296" s="24"/>
      <c r="O296" s="55"/>
    </row>
    <row r="297">
      <c r="C297" s="24"/>
      <c r="F297" s="24"/>
      <c r="H297" s="24"/>
      <c r="I297" s="24"/>
      <c r="J297" s="24"/>
      <c r="O297" s="55"/>
    </row>
    <row r="298">
      <c r="C298" s="24"/>
      <c r="F298" s="24"/>
      <c r="H298" s="24"/>
      <c r="I298" s="24"/>
      <c r="J298" s="24"/>
      <c r="O298" s="55"/>
    </row>
    <row r="299">
      <c r="C299" s="24"/>
      <c r="F299" s="24"/>
      <c r="H299" s="24"/>
      <c r="I299" s="24"/>
      <c r="J299" s="24"/>
      <c r="O299" s="55"/>
    </row>
    <row r="300">
      <c r="C300" s="24"/>
      <c r="F300" s="24"/>
      <c r="H300" s="24"/>
      <c r="I300" s="24"/>
      <c r="J300" s="24"/>
      <c r="O300" s="55"/>
    </row>
    <row r="301">
      <c r="C301" s="24"/>
      <c r="F301" s="24"/>
      <c r="H301" s="24"/>
      <c r="I301" s="24"/>
      <c r="J301" s="24"/>
      <c r="O301" s="55"/>
    </row>
    <row r="302">
      <c r="C302" s="24"/>
      <c r="F302" s="24"/>
      <c r="H302" s="24"/>
      <c r="I302" s="24"/>
      <c r="J302" s="24"/>
      <c r="O302" s="55"/>
    </row>
    <row r="303">
      <c r="C303" s="24"/>
      <c r="F303" s="24"/>
      <c r="H303" s="24"/>
      <c r="I303" s="24"/>
      <c r="J303" s="24"/>
      <c r="O303" s="55"/>
    </row>
    <row r="304">
      <c r="C304" s="24"/>
      <c r="F304" s="24"/>
      <c r="H304" s="24"/>
      <c r="I304" s="24"/>
      <c r="J304" s="24"/>
      <c r="O304" s="55"/>
    </row>
    <row r="305">
      <c r="C305" s="24"/>
      <c r="F305" s="24"/>
      <c r="H305" s="24"/>
      <c r="I305" s="24"/>
      <c r="J305" s="24"/>
      <c r="O305" s="55"/>
    </row>
    <row r="306">
      <c r="C306" s="24"/>
      <c r="F306" s="24"/>
      <c r="H306" s="24"/>
      <c r="I306" s="24"/>
      <c r="J306" s="24"/>
      <c r="O306" s="55"/>
    </row>
    <row r="307">
      <c r="C307" s="24"/>
      <c r="F307" s="24"/>
      <c r="H307" s="24"/>
      <c r="I307" s="24"/>
      <c r="J307" s="24"/>
      <c r="O307" s="55"/>
    </row>
    <row r="308">
      <c r="C308" s="24"/>
      <c r="F308" s="24"/>
      <c r="H308" s="24"/>
      <c r="I308" s="24"/>
      <c r="J308" s="24"/>
      <c r="O308" s="55"/>
    </row>
    <row r="309">
      <c r="C309" s="24"/>
      <c r="F309" s="24"/>
      <c r="H309" s="24"/>
      <c r="I309" s="24"/>
      <c r="J309" s="24"/>
      <c r="O309" s="55"/>
    </row>
    <row r="310">
      <c r="C310" s="24"/>
      <c r="F310" s="24"/>
      <c r="H310" s="24"/>
      <c r="I310" s="24"/>
      <c r="J310" s="24"/>
      <c r="O310" s="55"/>
    </row>
    <row r="311">
      <c r="C311" s="24"/>
      <c r="F311" s="24"/>
      <c r="H311" s="24"/>
      <c r="I311" s="24"/>
      <c r="J311" s="24"/>
      <c r="O311" s="55"/>
    </row>
    <row r="312">
      <c r="C312" s="24"/>
      <c r="F312" s="24"/>
      <c r="H312" s="24"/>
      <c r="I312" s="24"/>
      <c r="J312" s="24"/>
      <c r="O312" s="55"/>
    </row>
    <row r="313">
      <c r="C313" s="24"/>
      <c r="F313" s="24"/>
      <c r="H313" s="24"/>
      <c r="I313" s="24"/>
      <c r="J313" s="24"/>
      <c r="O313" s="55"/>
    </row>
    <row r="314">
      <c r="C314" s="24"/>
      <c r="F314" s="24"/>
      <c r="H314" s="24"/>
      <c r="I314" s="24"/>
      <c r="J314" s="24"/>
      <c r="O314" s="55"/>
    </row>
    <row r="315">
      <c r="C315" s="24"/>
      <c r="F315" s="24"/>
      <c r="H315" s="24"/>
      <c r="I315" s="24"/>
      <c r="J315" s="24"/>
      <c r="O315" s="55"/>
    </row>
    <row r="316">
      <c r="C316" s="24"/>
      <c r="F316" s="24"/>
      <c r="H316" s="24"/>
      <c r="I316" s="24"/>
      <c r="J316" s="24"/>
      <c r="O316" s="55"/>
    </row>
    <row r="317">
      <c r="C317" s="24"/>
      <c r="F317" s="24"/>
      <c r="H317" s="24"/>
      <c r="I317" s="24"/>
      <c r="J317" s="24"/>
      <c r="O317" s="55"/>
    </row>
    <row r="318">
      <c r="C318" s="24"/>
      <c r="F318" s="24"/>
      <c r="H318" s="24"/>
      <c r="I318" s="24"/>
      <c r="J318" s="24"/>
      <c r="O318" s="55"/>
    </row>
    <row r="319">
      <c r="C319" s="24"/>
      <c r="F319" s="24"/>
      <c r="H319" s="24"/>
      <c r="I319" s="24"/>
      <c r="J319" s="24"/>
      <c r="O319" s="55"/>
    </row>
    <row r="320">
      <c r="C320" s="24"/>
      <c r="F320" s="24"/>
      <c r="H320" s="24"/>
      <c r="I320" s="24"/>
      <c r="J320" s="24"/>
      <c r="O320" s="55"/>
    </row>
    <row r="321">
      <c r="C321" s="24"/>
      <c r="F321" s="24"/>
      <c r="H321" s="24"/>
      <c r="I321" s="24"/>
      <c r="J321" s="24"/>
      <c r="O321" s="55"/>
    </row>
    <row r="322">
      <c r="C322" s="24"/>
      <c r="F322" s="24"/>
      <c r="H322" s="24"/>
      <c r="I322" s="24"/>
      <c r="J322" s="24"/>
      <c r="O322" s="55"/>
    </row>
    <row r="323">
      <c r="C323" s="24"/>
      <c r="F323" s="24"/>
      <c r="H323" s="24"/>
      <c r="I323" s="24"/>
      <c r="J323" s="24"/>
      <c r="O323" s="55"/>
    </row>
    <row r="324">
      <c r="C324" s="24"/>
      <c r="F324" s="24"/>
      <c r="H324" s="24"/>
      <c r="I324" s="24"/>
      <c r="J324" s="24"/>
      <c r="O324" s="55"/>
    </row>
    <row r="325">
      <c r="C325" s="24"/>
      <c r="F325" s="24"/>
      <c r="H325" s="24"/>
      <c r="I325" s="24"/>
      <c r="J325" s="24"/>
      <c r="O325" s="55"/>
    </row>
    <row r="326">
      <c r="C326" s="24"/>
      <c r="F326" s="24"/>
      <c r="H326" s="24"/>
      <c r="I326" s="24"/>
      <c r="J326" s="24"/>
      <c r="O326" s="55"/>
    </row>
    <row r="327">
      <c r="C327" s="24"/>
      <c r="F327" s="24"/>
      <c r="H327" s="24"/>
      <c r="I327" s="24"/>
      <c r="J327" s="24"/>
      <c r="O327" s="55"/>
    </row>
    <row r="328">
      <c r="C328" s="24"/>
      <c r="F328" s="24"/>
      <c r="H328" s="24"/>
      <c r="I328" s="24"/>
      <c r="J328" s="24"/>
      <c r="O328" s="55"/>
    </row>
    <row r="329">
      <c r="C329" s="24"/>
      <c r="F329" s="24"/>
      <c r="H329" s="24"/>
      <c r="I329" s="24"/>
      <c r="J329" s="24"/>
      <c r="O329" s="55"/>
    </row>
    <row r="330">
      <c r="C330" s="24"/>
      <c r="F330" s="24"/>
      <c r="H330" s="24"/>
      <c r="I330" s="24"/>
      <c r="J330" s="24"/>
      <c r="O330" s="55"/>
    </row>
    <row r="331">
      <c r="C331" s="24"/>
      <c r="F331" s="24"/>
      <c r="H331" s="24"/>
      <c r="I331" s="24"/>
      <c r="J331" s="24"/>
      <c r="O331" s="55"/>
    </row>
    <row r="332">
      <c r="C332" s="24"/>
      <c r="F332" s="24"/>
      <c r="H332" s="24"/>
      <c r="I332" s="24"/>
      <c r="J332" s="24"/>
      <c r="O332" s="55"/>
    </row>
    <row r="333">
      <c r="C333" s="24"/>
      <c r="F333" s="24"/>
      <c r="H333" s="24"/>
      <c r="I333" s="24"/>
      <c r="J333" s="24"/>
      <c r="O333" s="55"/>
    </row>
    <row r="334">
      <c r="C334" s="24"/>
      <c r="F334" s="24"/>
      <c r="H334" s="24"/>
      <c r="I334" s="24"/>
      <c r="J334" s="24"/>
      <c r="O334" s="55"/>
    </row>
    <row r="335">
      <c r="C335" s="24"/>
      <c r="F335" s="24"/>
      <c r="H335" s="24"/>
      <c r="I335" s="24"/>
      <c r="J335" s="24"/>
      <c r="O335" s="55"/>
    </row>
    <row r="336">
      <c r="C336" s="24"/>
      <c r="F336" s="24"/>
      <c r="H336" s="24"/>
      <c r="I336" s="24"/>
      <c r="J336" s="24"/>
      <c r="O336" s="55"/>
    </row>
    <row r="337">
      <c r="C337" s="24"/>
      <c r="F337" s="24"/>
      <c r="H337" s="24"/>
      <c r="I337" s="24"/>
      <c r="J337" s="24"/>
      <c r="O337" s="55"/>
    </row>
    <row r="338">
      <c r="C338" s="24"/>
      <c r="F338" s="24"/>
      <c r="H338" s="24"/>
      <c r="I338" s="24"/>
      <c r="J338" s="24"/>
      <c r="O338" s="55"/>
    </row>
    <row r="339">
      <c r="C339" s="24"/>
      <c r="F339" s="24"/>
      <c r="H339" s="24"/>
      <c r="I339" s="24"/>
      <c r="J339" s="24"/>
      <c r="O339" s="55"/>
    </row>
    <row r="340">
      <c r="C340" s="24"/>
      <c r="F340" s="24"/>
      <c r="H340" s="24"/>
      <c r="I340" s="24"/>
      <c r="J340" s="24"/>
      <c r="O340" s="55"/>
    </row>
    <row r="341">
      <c r="C341" s="24"/>
      <c r="F341" s="24"/>
      <c r="H341" s="24"/>
      <c r="I341" s="24"/>
      <c r="J341" s="24"/>
      <c r="O341" s="55"/>
    </row>
    <row r="342">
      <c r="C342" s="24"/>
      <c r="F342" s="24"/>
      <c r="H342" s="24"/>
      <c r="I342" s="24"/>
      <c r="J342" s="24"/>
      <c r="O342" s="55"/>
    </row>
    <row r="343">
      <c r="C343" s="24"/>
      <c r="F343" s="24"/>
      <c r="H343" s="24"/>
      <c r="I343" s="24"/>
      <c r="J343" s="24"/>
      <c r="O343" s="55"/>
    </row>
    <row r="344">
      <c r="C344" s="24"/>
      <c r="F344" s="24"/>
      <c r="H344" s="24"/>
      <c r="I344" s="24"/>
      <c r="J344" s="24"/>
      <c r="O344" s="55"/>
    </row>
    <row r="345">
      <c r="C345" s="24"/>
      <c r="F345" s="24"/>
      <c r="H345" s="24"/>
      <c r="I345" s="24"/>
      <c r="J345" s="24"/>
      <c r="O345" s="55"/>
    </row>
    <row r="346">
      <c r="C346" s="24"/>
      <c r="F346" s="24"/>
      <c r="H346" s="24"/>
      <c r="I346" s="24"/>
      <c r="J346" s="24"/>
      <c r="O346" s="55"/>
    </row>
    <row r="347">
      <c r="C347" s="24"/>
      <c r="F347" s="24"/>
      <c r="H347" s="24"/>
      <c r="I347" s="24"/>
      <c r="J347" s="24"/>
      <c r="O347" s="55"/>
    </row>
    <row r="348">
      <c r="C348" s="24"/>
      <c r="F348" s="24"/>
      <c r="H348" s="24"/>
      <c r="I348" s="24"/>
      <c r="J348" s="24"/>
      <c r="O348" s="55"/>
    </row>
    <row r="349">
      <c r="C349" s="24"/>
      <c r="F349" s="24"/>
      <c r="H349" s="24"/>
      <c r="I349" s="24"/>
      <c r="J349" s="24"/>
      <c r="O349" s="55"/>
    </row>
    <row r="350">
      <c r="C350" s="24"/>
      <c r="F350" s="24"/>
      <c r="H350" s="24"/>
      <c r="I350" s="24"/>
      <c r="J350" s="24"/>
      <c r="O350" s="55"/>
    </row>
    <row r="351">
      <c r="C351" s="24"/>
      <c r="F351" s="24"/>
      <c r="H351" s="24"/>
      <c r="I351" s="24"/>
      <c r="J351" s="24"/>
      <c r="O351" s="55"/>
    </row>
    <row r="352">
      <c r="C352" s="24"/>
      <c r="F352" s="24"/>
      <c r="H352" s="24"/>
      <c r="I352" s="24"/>
      <c r="J352" s="24"/>
      <c r="O352" s="55"/>
    </row>
    <row r="353">
      <c r="C353" s="24"/>
      <c r="F353" s="24"/>
      <c r="H353" s="24"/>
      <c r="I353" s="24"/>
      <c r="J353" s="24"/>
      <c r="O353" s="55"/>
    </row>
    <row r="354">
      <c r="C354" s="24"/>
      <c r="F354" s="24"/>
      <c r="H354" s="24"/>
      <c r="I354" s="24"/>
      <c r="J354" s="24"/>
      <c r="O354" s="55"/>
    </row>
    <row r="355">
      <c r="C355" s="24"/>
      <c r="F355" s="24"/>
      <c r="H355" s="24"/>
      <c r="I355" s="24"/>
      <c r="J355" s="24"/>
      <c r="O355" s="55"/>
    </row>
    <row r="356">
      <c r="C356" s="24"/>
      <c r="F356" s="24"/>
      <c r="H356" s="24"/>
      <c r="I356" s="24"/>
      <c r="J356" s="24"/>
      <c r="O356" s="55"/>
    </row>
    <row r="357">
      <c r="C357" s="24"/>
      <c r="F357" s="24"/>
      <c r="H357" s="24"/>
      <c r="I357" s="24"/>
      <c r="J357" s="24"/>
      <c r="O357" s="55"/>
    </row>
    <row r="358">
      <c r="C358" s="24"/>
      <c r="F358" s="24"/>
      <c r="H358" s="24"/>
      <c r="I358" s="24"/>
      <c r="J358" s="24"/>
      <c r="O358" s="55"/>
    </row>
    <row r="359">
      <c r="C359" s="24"/>
      <c r="F359" s="24"/>
      <c r="H359" s="24"/>
      <c r="I359" s="24"/>
      <c r="J359" s="24"/>
      <c r="O359" s="55"/>
    </row>
    <row r="360">
      <c r="C360" s="24"/>
      <c r="F360" s="24"/>
      <c r="H360" s="24"/>
      <c r="I360" s="24"/>
      <c r="J360" s="24"/>
      <c r="O360" s="55"/>
    </row>
    <row r="361">
      <c r="C361" s="24"/>
      <c r="F361" s="24"/>
      <c r="H361" s="24"/>
      <c r="I361" s="24"/>
      <c r="J361" s="24"/>
      <c r="O361" s="55"/>
    </row>
    <row r="362">
      <c r="C362" s="24"/>
      <c r="F362" s="24"/>
      <c r="H362" s="24"/>
      <c r="I362" s="24"/>
      <c r="J362" s="24"/>
      <c r="O362" s="55"/>
    </row>
    <row r="363">
      <c r="C363" s="24"/>
      <c r="F363" s="24"/>
      <c r="H363" s="24"/>
      <c r="I363" s="24"/>
      <c r="J363" s="24"/>
      <c r="O363" s="55"/>
    </row>
    <row r="364">
      <c r="C364" s="24"/>
      <c r="F364" s="24"/>
      <c r="H364" s="24"/>
      <c r="I364" s="24"/>
      <c r="J364" s="24"/>
      <c r="O364" s="55"/>
    </row>
    <row r="365">
      <c r="C365" s="24"/>
      <c r="F365" s="24"/>
      <c r="H365" s="24"/>
      <c r="I365" s="24"/>
      <c r="J365" s="24"/>
      <c r="O365" s="55"/>
    </row>
    <row r="366">
      <c r="C366" s="24"/>
      <c r="F366" s="24"/>
      <c r="H366" s="24"/>
      <c r="I366" s="24"/>
      <c r="J366" s="24"/>
      <c r="O366" s="55"/>
    </row>
    <row r="367">
      <c r="C367" s="24"/>
      <c r="F367" s="24"/>
      <c r="H367" s="24"/>
      <c r="I367" s="24"/>
      <c r="J367" s="24"/>
      <c r="O367" s="55"/>
    </row>
    <row r="368">
      <c r="C368" s="24"/>
      <c r="F368" s="24"/>
      <c r="H368" s="24"/>
      <c r="I368" s="24"/>
      <c r="J368" s="24"/>
      <c r="O368" s="55"/>
    </row>
    <row r="369">
      <c r="C369" s="24"/>
      <c r="F369" s="24"/>
      <c r="H369" s="24"/>
      <c r="I369" s="24"/>
      <c r="J369" s="24"/>
      <c r="O369" s="55"/>
    </row>
    <row r="370">
      <c r="C370" s="24"/>
      <c r="F370" s="24"/>
      <c r="H370" s="24"/>
      <c r="I370" s="24"/>
      <c r="J370" s="24"/>
      <c r="O370" s="55"/>
    </row>
    <row r="371">
      <c r="C371" s="24"/>
      <c r="F371" s="24"/>
      <c r="H371" s="24"/>
      <c r="I371" s="24"/>
      <c r="J371" s="24"/>
      <c r="O371" s="55"/>
    </row>
    <row r="372">
      <c r="C372" s="24"/>
      <c r="F372" s="24"/>
      <c r="H372" s="24"/>
      <c r="I372" s="24"/>
      <c r="J372" s="24"/>
      <c r="O372" s="55"/>
    </row>
    <row r="373">
      <c r="C373" s="24"/>
      <c r="F373" s="24"/>
      <c r="H373" s="24"/>
      <c r="I373" s="24"/>
      <c r="J373" s="24"/>
      <c r="O373" s="55"/>
    </row>
    <row r="374">
      <c r="C374" s="24"/>
      <c r="F374" s="24"/>
      <c r="H374" s="24"/>
      <c r="I374" s="24"/>
      <c r="J374" s="24"/>
      <c r="O374" s="55"/>
    </row>
    <row r="375">
      <c r="C375" s="24"/>
      <c r="F375" s="24"/>
      <c r="H375" s="24"/>
      <c r="I375" s="24"/>
      <c r="J375" s="24"/>
      <c r="O375" s="55"/>
    </row>
    <row r="376">
      <c r="C376" s="24"/>
      <c r="F376" s="24"/>
      <c r="H376" s="24"/>
      <c r="I376" s="24"/>
      <c r="J376" s="24"/>
      <c r="O376" s="55"/>
    </row>
    <row r="377">
      <c r="C377" s="24"/>
      <c r="F377" s="24"/>
      <c r="H377" s="24"/>
      <c r="I377" s="24"/>
      <c r="J377" s="24"/>
      <c r="O377" s="55"/>
    </row>
    <row r="378">
      <c r="C378" s="24"/>
      <c r="F378" s="24"/>
      <c r="H378" s="24"/>
      <c r="I378" s="24"/>
      <c r="J378" s="24"/>
      <c r="O378" s="55"/>
    </row>
    <row r="379">
      <c r="C379" s="24"/>
      <c r="F379" s="24"/>
      <c r="H379" s="24"/>
      <c r="I379" s="24"/>
      <c r="J379" s="24"/>
      <c r="O379" s="55"/>
    </row>
    <row r="380">
      <c r="C380" s="24"/>
      <c r="F380" s="24"/>
      <c r="H380" s="24"/>
      <c r="I380" s="24"/>
      <c r="J380" s="24"/>
      <c r="O380" s="55"/>
    </row>
    <row r="381">
      <c r="C381" s="24"/>
      <c r="F381" s="24"/>
      <c r="H381" s="24"/>
      <c r="I381" s="24"/>
      <c r="J381" s="24"/>
      <c r="O381" s="55"/>
    </row>
    <row r="382">
      <c r="C382" s="24"/>
      <c r="F382" s="24"/>
      <c r="H382" s="24"/>
      <c r="I382" s="24"/>
      <c r="J382" s="24"/>
      <c r="O382" s="55"/>
    </row>
    <row r="383">
      <c r="C383" s="24"/>
      <c r="F383" s="24"/>
      <c r="H383" s="24"/>
      <c r="I383" s="24"/>
      <c r="J383" s="24"/>
      <c r="O383" s="55"/>
    </row>
    <row r="384">
      <c r="C384" s="24"/>
      <c r="F384" s="24"/>
      <c r="H384" s="24"/>
      <c r="I384" s="24"/>
      <c r="J384" s="24"/>
      <c r="O384" s="55"/>
    </row>
    <row r="385">
      <c r="C385" s="24"/>
      <c r="F385" s="24"/>
      <c r="H385" s="24"/>
      <c r="I385" s="24"/>
      <c r="J385" s="24"/>
      <c r="O385" s="55"/>
    </row>
    <row r="386">
      <c r="C386" s="24"/>
      <c r="F386" s="24"/>
      <c r="H386" s="24"/>
      <c r="I386" s="24"/>
      <c r="J386" s="24"/>
      <c r="O386" s="55"/>
    </row>
    <row r="387">
      <c r="C387" s="24"/>
      <c r="F387" s="24"/>
      <c r="H387" s="24"/>
      <c r="I387" s="24"/>
      <c r="J387" s="24"/>
      <c r="O387" s="55"/>
    </row>
    <row r="388">
      <c r="C388" s="24"/>
      <c r="F388" s="24"/>
      <c r="H388" s="24"/>
      <c r="I388" s="24"/>
      <c r="J388" s="24"/>
      <c r="O388" s="55"/>
    </row>
    <row r="389">
      <c r="C389" s="24"/>
      <c r="F389" s="24"/>
      <c r="H389" s="24"/>
      <c r="I389" s="24"/>
      <c r="J389" s="24"/>
      <c r="O389" s="55"/>
    </row>
    <row r="390">
      <c r="C390" s="24"/>
      <c r="F390" s="24"/>
      <c r="H390" s="24"/>
      <c r="I390" s="24"/>
      <c r="J390" s="24"/>
      <c r="O390" s="55"/>
    </row>
    <row r="391">
      <c r="C391" s="24"/>
      <c r="F391" s="24"/>
      <c r="H391" s="24"/>
      <c r="I391" s="24"/>
      <c r="J391" s="24"/>
      <c r="O391" s="55"/>
    </row>
    <row r="392">
      <c r="C392" s="24"/>
      <c r="F392" s="24"/>
      <c r="H392" s="24"/>
      <c r="I392" s="24"/>
      <c r="J392" s="24"/>
      <c r="O392" s="55"/>
    </row>
    <row r="393">
      <c r="C393" s="24"/>
      <c r="F393" s="24"/>
      <c r="H393" s="24"/>
      <c r="I393" s="24"/>
      <c r="J393" s="24"/>
      <c r="O393" s="55"/>
    </row>
    <row r="394">
      <c r="C394" s="24"/>
      <c r="F394" s="24"/>
      <c r="H394" s="24"/>
      <c r="I394" s="24"/>
      <c r="J394" s="24"/>
      <c r="O394" s="55"/>
    </row>
    <row r="395">
      <c r="C395" s="24"/>
      <c r="F395" s="24"/>
      <c r="H395" s="24"/>
      <c r="I395" s="24"/>
      <c r="J395" s="24"/>
      <c r="O395" s="55"/>
    </row>
    <row r="396">
      <c r="C396" s="24"/>
      <c r="F396" s="24"/>
      <c r="H396" s="24"/>
      <c r="I396" s="24"/>
      <c r="J396" s="24"/>
      <c r="O396" s="55"/>
    </row>
    <row r="397">
      <c r="C397" s="24"/>
      <c r="F397" s="24"/>
      <c r="H397" s="24"/>
      <c r="I397" s="24"/>
      <c r="J397" s="24"/>
      <c r="O397" s="55"/>
    </row>
    <row r="398">
      <c r="C398" s="24"/>
      <c r="F398" s="24"/>
      <c r="H398" s="24"/>
      <c r="I398" s="24"/>
      <c r="J398" s="24"/>
      <c r="O398" s="55"/>
    </row>
    <row r="399">
      <c r="C399" s="24"/>
      <c r="F399" s="24"/>
      <c r="H399" s="24"/>
      <c r="I399" s="24"/>
      <c r="J399" s="24"/>
      <c r="O399" s="55"/>
    </row>
    <row r="400">
      <c r="C400" s="24"/>
      <c r="F400" s="24"/>
      <c r="H400" s="24"/>
      <c r="I400" s="24"/>
      <c r="J400" s="24"/>
      <c r="O400" s="55"/>
    </row>
    <row r="401">
      <c r="C401" s="24"/>
      <c r="F401" s="24"/>
      <c r="H401" s="24"/>
      <c r="I401" s="24"/>
      <c r="J401" s="24"/>
      <c r="O401" s="55"/>
    </row>
    <row r="402">
      <c r="C402" s="24"/>
      <c r="F402" s="24"/>
      <c r="H402" s="24"/>
      <c r="I402" s="24"/>
      <c r="J402" s="24"/>
      <c r="O402" s="55"/>
    </row>
    <row r="403">
      <c r="C403" s="24"/>
      <c r="F403" s="24"/>
      <c r="H403" s="24"/>
      <c r="I403" s="24"/>
      <c r="J403" s="24"/>
      <c r="O403" s="55"/>
    </row>
    <row r="404">
      <c r="C404" s="24"/>
      <c r="F404" s="24"/>
      <c r="H404" s="24"/>
      <c r="I404" s="24"/>
      <c r="J404" s="24"/>
      <c r="O404" s="55"/>
    </row>
    <row r="405">
      <c r="C405" s="24"/>
      <c r="F405" s="24"/>
      <c r="H405" s="24"/>
      <c r="I405" s="24"/>
      <c r="J405" s="24"/>
      <c r="O405" s="55"/>
    </row>
    <row r="406">
      <c r="C406" s="24"/>
      <c r="F406" s="24"/>
      <c r="H406" s="24"/>
      <c r="I406" s="24"/>
      <c r="J406" s="24"/>
      <c r="O406" s="55"/>
    </row>
    <row r="407">
      <c r="C407" s="24"/>
      <c r="F407" s="24"/>
      <c r="H407" s="24"/>
      <c r="I407" s="24"/>
      <c r="J407" s="24"/>
      <c r="O407" s="55"/>
    </row>
    <row r="408">
      <c r="C408" s="24"/>
      <c r="F408" s="24"/>
      <c r="H408" s="24"/>
      <c r="I408" s="24"/>
      <c r="J408" s="24"/>
      <c r="O408" s="55"/>
    </row>
    <row r="409">
      <c r="C409" s="24"/>
      <c r="F409" s="24"/>
      <c r="H409" s="24"/>
      <c r="I409" s="24"/>
      <c r="J409" s="24"/>
      <c r="O409" s="55"/>
    </row>
    <row r="410">
      <c r="C410" s="24"/>
      <c r="F410" s="24"/>
      <c r="H410" s="24"/>
      <c r="I410" s="24"/>
      <c r="J410" s="24"/>
      <c r="O410" s="55"/>
    </row>
    <row r="411">
      <c r="C411" s="24"/>
      <c r="F411" s="24"/>
      <c r="H411" s="24"/>
      <c r="I411" s="24"/>
      <c r="J411" s="24"/>
      <c r="O411" s="55"/>
    </row>
    <row r="412">
      <c r="C412" s="24"/>
      <c r="F412" s="24"/>
      <c r="H412" s="24"/>
      <c r="I412" s="24"/>
      <c r="J412" s="24"/>
      <c r="O412" s="55"/>
    </row>
    <row r="413">
      <c r="C413" s="24"/>
      <c r="F413" s="24"/>
      <c r="H413" s="24"/>
      <c r="I413" s="24"/>
      <c r="J413" s="24"/>
      <c r="O413" s="55"/>
    </row>
    <row r="414">
      <c r="C414" s="24"/>
      <c r="F414" s="24"/>
      <c r="H414" s="24"/>
      <c r="I414" s="24"/>
      <c r="J414" s="24"/>
      <c r="O414" s="55"/>
    </row>
    <row r="415">
      <c r="C415" s="24"/>
      <c r="F415" s="24"/>
      <c r="H415" s="24"/>
      <c r="I415" s="24"/>
      <c r="J415" s="24"/>
      <c r="O415" s="55"/>
    </row>
    <row r="416">
      <c r="C416" s="24"/>
      <c r="F416" s="24"/>
      <c r="H416" s="24"/>
      <c r="I416" s="24"/>
      <c r="J416" s="24"/>
      <c r="O416" s="55"/>
    </row>
    <row r="417">
      <c r="C417" s="24"/>
      <c r="F417" s="24"/>
      <c r="H417" s="24"/>
      <c r="I417" s="24"/>
      <c r="J417" s="24"/>
      <c r="O417" s="55"/>
    </row>
    <row r="418">
      <c r="C418" s="24"/>
      <c r="F418" s="24"/>
      <c r="H418" s="24"/>
      <c r="I418" s="24"/>
      <c r="J418" s="24"/>
      <c r="O418" s="55"/>
    </row>
    <row r="419">
      <c r="C419" s="24"/>
      <c r="F419" s="24"/>
      <c r="H419" s="24"/>
      <c r="I419" s="24"/>
      <c r="J419" s="24"/>
      <c r="O419" s="55"/>
    </row>
    <row r="420">
      <c r="C420" s="24"/>
      <c r="F420" s="24"/>
      <c r="H420" s="24"/>
      <c r="I420" s="24"/>
      <c r="J420" s="24"/>
      <c r="O420" s="55"/>
    </row>
    <row r="421">
      <c r="C421" s="24"/>
      <c r="F421" s="24"/>
      <c r="H421" s="24"/>
      <c r="I421" s="24"/>
      <c r="J421" s="24"/>
      <c r="O421" s="55"/>
    </row>
    <row r="422">
      <c r="C422" s="24"/>
      <c r="F422" s="24"/>
      <c r="H422" s="24"/>
      <c r="I422" s="24"/>
      <c r="J422" s="24"/>
      <c r="O422" s="55"/>
    </row>
    <row r="423">
      <c r="C423" s="24"/>
      <c r="F423" s="24"/>
      <c r="H423" s="24"/>
      <c r="I423" s="24"/>
      <c r="J423" s="24"/>
      <c r="O423" s="55"/>
    </row>
    <row r="424">
      <c r="C424" s="24"/>
      <c r="F424" s="24"/>
      <c r="H424" s="24"/>
      <c r="I424" s="24"/>
      <c r="J424" s="24"/>
      <c r="O424" s="55"/>
    </row>
    <row r="425">
      <c r="C425" s="24"/>
      <c r="F425" s="24"/>
      <c r="H425" s="24"/>
      <c r="I425" s="24"/>
      <c r="J425" s="24"/>
      <c r="O425" s="55"/>
    </row>
    <row r="426">
      <c r="C426" s="24"/>
      <c r="F426" s="24"/>
      <c r="H426" s="24"/>
      <c r="I426" s="24"/>
      <c r="J426" s="24"/>
      <c r="O426" s="55"/>
    </row>
    <row r="427">
      <c r="C427" s="24"/>
      <c r="F427" s="24"/>
      <c r="H427" s="24"/>
      <c r="I427" s="24"/>
      <c r="J427" s="24"/>
      <c r="O427" s="55"/>
    </row>
    <row r="428">
      <c r="C428" s="24"/>
      <c r="F428" s="24"/>
      <c r="H428" s="24"/>
      <c r="I428" s="24"/>
      <c r="J428" s="24"/>
      <c r="O428" s="55"/>
    </row>
    <row r="429">
      <c r="C429" s="24"/>
      <c r="F429" s="24"/>
      <c r="H429" s="24"/>
      <c r="I429" s="24"/>
      <c r="J429" s="24"/>
      <c r="O429" s="55"/>
    </row>
    <row r="430">
      <c r="C430" s="24"/>
      <c r="F430" s="24"/>
      <c r="H430" s="24"/>
      <c r="I430" s="24"/>
      <c r="J430" s="24"/>
      <c r="O430" s="55"/>
    </row>
    <row r="431">
      <c r="C431" s="24"/>
      <c r="F431" s="24"/>
      <c r="H431" s="24"/>
      <c r="I431" s="24"/>
      <c r="J431" s="24"/>
      <c r="O431" s="55"/>
    </row>
    <row r="432">
      <c r="C432" s="24"/>
      <c r="F432" s="24"/>
      <c r="H432" s="24"/>
      <c r="I432" s="24"/>
      <c r="J432" s="24"/>
      <c r="O432" s="55"/>
    </row>
    <row r="433">
      <c r="C433" s="24"/>
      <c r="F433" s="24"/>
      <c r="H433" s="24"/>
      <c r="I433" s="24"/>
      <c r="J433" s="24"/>
      <c r="O433" s="55"/>
    </row>
    <row r="434">
      <c r="C434" s="24"/>
      <c r="F434" s="24"/>
      <c r="H434" s="24"/>
      <c r="I434" s="24"/>
      <c r="J434" s="24"/>
      <c r="O434" s="55"/>
    </row>
    <row r="435">
      <c r="C435" s="24"/>
      <c r="F435" s="24"/>
      <c r="H435" s="24"/>
      <c r="I435" s="24"/>
      <c r="J435" s="24"/>
      <c r="O435" s="55"/>
    </row>
    <row r="436">
      <c r="C436" s="24"/>
      <c r="F436" s="24"/>
      <c r="H436" s="24"/>
      <c r="I436" s="24"/>
      <c r="J436" s="24"/>
      <c r="O436" s="55"/>
    </row>
    <row r="437">
      <c r="C437" s="24"/>
      <c r="F437" s="24"/>
      <c r="H437" s="24"/>
      <c r="I437" s="24"/>
      <c r="J437" s="24"/>
      <c r="O437" s="55"/>
    </row>
    <row r="438">
      <c r="C438" s="24"/>
      <c r="F438" s="24"/>
      <c r="H438" s="24"/>
      <c r="I438" s="24"/>
      <c r="J438" s="24"/>
      <c r="O438" s="55"/>
    </row>
    <row r="439">
      <c r="C439" s="24"/>
      <c r="F439" s="24"/>
      <c r="H439" s="24"/>
      <c r="I439" s="24"/>
      <c r="J439" s="24"/>
      <c r="O439" s="55"/>
    </row>
    <row r="440">
      <c r="C440" s="24"/>
      <c r="F440" s="24"/>
      <c r="H440" s="24"/>
      <c r="I440" s="24"/>
      <c r="J440" s="24"/>
      <c r="O440" s="55"/>
    </row>
    <row r="441">
      <c r="C441" s="24"/>
      <c r="F441" s="24"/>
      <c r="H441" s="24"/>
      <c r="I441" s="24"/>
      <c r="J441" s="24"/>
      <c r="O441" s="55"/>
    </row>
    <row r="442">
      <c r="C442" s="24"/>
      <c r="F442" s="24"/>
      <c r="H442" s="24"/>
      <c r="I442" s="24"/>
      <c r="J442" s="24"/>
      <c r="O442" s="55"/>
    </row>
    <row r="443">
      <c r="C443" s="24"/>
      <c r="F443" s="24"/>
      <c r="H443" s="24"/>
      <c r="I443" s="24"/>
      <c r="J443" s="24"/>
      <c r="O443" s="55"/>
    </row>
    <row r="444">
      <c r="C444" s="24"/>
      <c r="F444" s="24"/>
      <c r="H444" s="24"/>
      <c r="I444" s="24"/>
      <c r="J444" s="24"/>
      <c r="O444" s="55"/>
    </row>
    <row r="445">
      <c r="C445" s="24"/>
      <c r="F445" s="24"/>
      <c r="H445" s="24"/>
      <c r="I445" s="24"/>
      <c r="J445" s="24"/>
      <c r="O445" s="55"/>
    </row>
    <row r="446">
      <c r="C446" s="24"/>
      <c r="F446" s="24"/>
      <c r="H446" s="24"/>
      <c r="I446" s="24"/>
      <c r="J446" s="24"/>
      <c r="O446" s="55"/>
    </row>
    <row r="447">
      <c r="C447" s="24"/>
      <c r="F447" s="24"/>
      <c r="H447" s="24"/>
      <c r="I447" s="24"/>
      <c r="J447" s="24"/>
      <c r="O447" s="55"/>
    </row>
    <row r="448">
      <c r="C448" s="24"/>
      <c r="F448" s="24"/>
      <c r="H448" s="24"/>
      <c r="I448" s="24"/>
      <c r="J448" s="24"/>
      <c r="O448" s="55"/>
    </row>
    <row r="449">
      <c r="C449" s="24"/>
      <c r="F449" s="24"/>
      <c r="H449" s="24"/>
      <c r="I449" s="24"/>
      <c r="J449" s="24"/>
      <c r="O449" s="55"/>
    </row>
    <row r="450">
      <c r="C450" s="24"/>
      <c r="F450" s="24"/>
      <c r="H450" s="24"/>
      <c r="I450" s="24"/>
      <c r="J450" s="24"/>
      <c r="O450" s="55"/>
    </row>
    <row r="451">
      <c r="C451" s="24"/>
      <c r="F451" s="24"/>
      <c r="H451" s="24"/>
      <c r="I451" s="24"/>
      <c r="J451" s="24"/>
      <c r="O451" s="55"/>
    </row>
    <row r="452">
      <c r="C452" s="24"/>
      <c r="F452" s="24"/>
      <c r="H452" s="24"/>
      <c r="I452" s="24"/>
      <c r="J452" s="24"/>
      <c r="O452" s="55"/>
    </row>
    <row r="453">
      <c r="C453" s="24"/>
      <c r="F453" s="24"/>
      <c r="H453" s="24"/>
      <c r="I453" s="24"/>
      <c r="J453" s="24"/>
      <c r="O453" s="55"/>
    </row>
    <row r="454">
      <c r="C454" s="24"/>
      <c r="F454" s="24"/>
      <c r="H454" s="24"/>
      <c r="I454" s="24"/>
      <c r="J454" s="24"/>
      <c r="O454" s="55"/>
    </row>
    <row r="455">
      <c r="C455" s="24"/>
      <c r="F455" s="24"/>
      <c r="H455" s="24"/>
      <c r="I455" s="24"/>
      <c r="J455" s="24"/>
      <c r="O455" s="55"/>
    </row>
    <row r="456">
      <c r="C456" s="24"/>
      <c r="F456" s="24"/>
      <c r="H456" s="24"/>
      <c r="I456" s="24"/>
      <c r="J456" s="24"/>
      <c r="O456" s="55"/>
    </row>
    <row r="457">
      <c r="C457" s="24"/>
      <c r="F457" s="24"/>
      <c r="H457" s="24"/>
      <c r="I457" s="24"/>
      <c r="J457" s="24"/>
      <c r="O457" s="55"/>
    </row>
    <row r="458">
      <c r="C458" s="24"/>
      <c r="F458" s="24"/>
      <c r="H458" s="24"/>
      <c r="I458" s="24"/>
      <c r="J458" s="24"/>
      <c r="O458" s="55"/>
    </row>
    <row r="459">
      <c r="C459" s="24"/>
      <c r="F459" s="24"/>
      <c r="H459" s="24"/>
      <c r="I459" s="24"/>
      <c r="J459" s="24"/>
      <c r="O459" s="55"/>
    </row>
    <row r="460">
      <c r="C460" s="24"/>
      <c r="F460" s="24"/>
      <c r="H460" s="24"/>
      <c r="I460" s="24"/>
      <c r="J460" s="24"/>
      <c r="O460" s="55"/>
    </row>
    <row r="461">
      <c r="C461" s="24"/>
      <c r="F461" s="24"/>
      <c r="H461" s="24"/>
      <c r="I461" s="24"/>
      <c r="J461" s="24"/>
      <c r="O461" s="55"/>
    </row>
    <row r="462">
      <c r="C462" s="24"/>
      <c r="F462" s="24"/>
      <c r="H462" s="24"/>
      <c r="I462" s="24"/>
      <c r="J462" s="24"/>
      <c r="O462" s="55"/>
    </row>
    <row r="463">
      <c r="C463" s="24"/>
      <c r="F463" s="24"/>
      <c r="H463" s="24"/>
      <c r="I463" s="24"/>
      <c r="J463" s="24"/>
      <c r="O463" s="55"/>
    </row>
    <row r="464">
      <c r="C464" s="24"/>
      <c r="F464" s="24"/>
      <c r="H464" s="24"/>
      <c r="I464" s="24"/>
      <c r="J464" s="24"/>
      <c r="O464" s="55"/>
    </row>
    <row r="465">
      <c r="C465" s="24"/>
      <c r="F465" s="24"/>
      <c r="H465" s="24"/>
      <c r="I465" s="24"/>
      <c r="J465" s="24"/>
      <c r="O465" s="55"/>
    </row>
    <row r="466">
      <c r="C466" s="24"/>
      <c r="F466" s="24"/>
      <c r="H466" s="24"/>
      <c r="I466" s="24"/>
      <c r="J466" s="24"/>
      <c r="O466" s="55"/>
    </row>
    <row r="467">
      <c r="C467" s="24"/>
      <c r="F467" s="24"/>
      <c r="H467" s="24"/>
      <c r="I467" s="24"/>
      <c r="J467" s="24"/>
      <c r="O467" s="55"/>
    </row>
    <row r="468">
      <c r="C468" s="24"/>
      <c r="F468" s="24"/>
      <c r="H468" s="24"/>
      <c r="I468" s="24"/>
      <c r="J468" s="24"/>
      <c r="O468" s="55"/>
    </row>
    <row r="469">
      <c r="C469" s="24"/>
      <c r="F469" s="24"/>
      <c r="H469" s="24"/>
      <c r="I469" s="24"/>
      <c r="J469" s="24"/>
      <c r="O469" s="55"/>
    </row>
    <row r="470">
      <c r="C470" s="24"/>
      <c r="F470" s="24"/>
      <c r="H470" s="24"/>
      <c r="I470" s="24"/>
      <c r="J470" s="24"/>
      <c r="O470" s="55"/>
    </row>
    <row r="471">
      <c r="C471" s="24"/>
      <c r="F471" s="24"/>
      <c r="H471" s="24"/>
      <c r="I471" s="24"/>
      <c r="J471" s="24"/>
      <c r="O471" s="55"/>
    </row>
    <row r="472">
      <c r="C472" s="24"/>
      <c r="F472" s="24"/>
      <c r="H472" s="24"/>
      <c r="I472" s="24"/>
      <c r="J472" s="24"/>
      <c r="O472" s="55"/>
    </row>
    <row r="473">
      <c r="C473" s="24"/>
      <c r="F473" s="24"/>
      <c r="H473" s="24"/>
      <c r="I473" s="24"/>
      <c r="J473" s="24"/>
      <c r="O473" s="55"/>
    </row>
    <row r="474">
      <c r="C474" s="24"/>
      <c r="F474" s="24"/>
      <c r="H474" s="24"/>
      <c r="I474" s="24"/>
      <c r="J474" s="24"/>
      <c r="O474" s="55"/>
    </row>
    <row r="475">
      <c r="C475" s="24"/>
      <c r="F475" s="24"/>
      <c r="H475" s="24"/>
      <c r="I475" s="24"/>
      <c r="J475" s="24"/>
      <c r="O475" s="55"/>
    </row>
    <row r="476">
      <c r="C476" s="24"/>
      <c r="F476" s="24"/>
      <c r="H476" s="24"/>
      <c r="I476" s="24"/>
      <c r="J476" s="24"/>
      <c r="O476" s="55"/>
    </row>
    <row r="477">
      <c r="C477" s="24"/>
      <c r="F477" s="24"/>
      <c r="H477" s="24"/>
      <c r="I477" s="24"/>
      <c r="J477" s="24"/>
      <c r="O477" s="55"/>
    </row>
    <row r="478">
      <c r="C478" s="24"/>
      <c r="F478" s="24"/>
      <c r="H478" s="24"/>
      <c r="I478" s="24"/>
      <c r="J478" s="24"/>
      <c r="O478" s="55"/>
    </row>
    <row r="479">
      <c r="C479" s="24"/>
      <c r="F479" s="24"/>
      <c r="H479" s="24"/>
      <c r="I479" s="24"/>
      <c r="J479" s="24"/>
      <c r="O479" s="55"/>
    </row>
    <row r="480">
      <c r="C480" s="24"/>
      <c r="F480" s="24"/>
      <c r="H480" s="24"/>
      <c r="I480" s="24"/>
      <c r="J480" s="24"/>
      <c r="O480" s="55"/>
    </row>
    <row r="481">
      <c r="C481" s="24"/>
      <c r="F481" s="24"/>
      <c r="H481" s="24"/>
      <c r="I481" s="24"/>
      <c r="J481" s="24"/>
      <c r="O481" s="55"/>
    </row>
    <row r="482">
      <c r="C482" s="24"/>
      <c r="F482" s="24"/>
      <c r="H482" s="24"/>
      <c r="I482" s="24"/>
      <c r="J482" s="24"/>
      <c r="O482" s="55"/>
    </row>
    <row r="483">
      <c r="C483" s="24"/>
      <c r="F483" s="24"/>
      <c r="H483" s="24"/>
      <c r="I483" s="24"/>
      <c r="J483" s="24"/>
      <c r="O483" s="55"/>
    </row>
    <row r="484">
      <c r="C484" s="24"/>
      <c r="F484" s="24"/>
      <c r="H484" s="24"/>
      <c r="I484" s="24"/>
      <c r="J484" s="24"/>
      <c r="O484" s="55"/>
    </row>
    <row r="485">
      <c r="C485" s="24"/>
      <c r="F485" s="24"/>
      <c r="H485" s="24"/>
      <c r="I485" s="24"/>
      <c r="J485" s="24"/>
      <c r="O485" s="55"/>
    </row>
    <row r="486">
      <c r="C486" s="24"/>
      <c r="F486" s="24"/>
      <c r="H486" s="24"/>
      <c r="I486" s="24"/>
      <c r="J486" s="24"/>
      <c r="O486" s="55"/>
    </row>
    <row r="487">
      <c r="C487" s="24"/>
      <c r="F487" s="24"/>
      <c r="H487" s="24"/>
      <c r="I487" s="24"/>
      <c r="J487" s="24"/>
      <c r="O487" s="55"/>
    </row>
    <row r="488">
      <c r="C488" s="24"/>
      <c r="F488" s="24"/>
      <c r="H488" s="24"/>
      <c r="I488" s="24"/>
      <c r="J488" s="24"/>
      <c r="O488" s="55"/>
    </row>
    <row r="489">
      <c r="C489" s="24"/>
      <c r="F489" s="24"/>
      <c r="H489" s="24"/>
      <c r="I489" s="24"/>
      <c r="J489" s="24"/>
      <c r="O489" s="55"/>
    </row>
    <row r="490">
      <c r="C490" s="24"/>
      <c r="F490" s="24"/>
      <c r="H490" s="24"/>
      <c r="I490" s="24"/>
      <c r="J490" s="24"/>
      <c r="O490" s="55"/>
    </row>
    <row r="491">
      <c r="C491" s="24"/>
      <c r="F491" s="24"/>
      <c r="H491" s="24"/>
      <c r="I491" s="24"/>
      <c r="J491" s="24"/>
      <c r="O491" s="55"/>
    </row>
    <row r="492">
      <c r="C492" s="24"/>
      <c r="F492" s="24"/>
      <c r="H492" s="24"/>
      <c r="I492" s="24"/>
      <c r="J492" s="24"/>
      <c r="O492" s="55"/>
    </row>
    <row r="493">
      <c r="C493" s="24"/>
      <c r="F493" s="24"/>
      <c r="H493" s="24"/>
      <c r="I493" s="24"/>
      <c r="J493" s="24"/>
      <c r="O493" s="55"/>
    </row>
    <row r="494">
      <c r="C494" s="24"/>
      <c r="F494" s="24"/>
      <c r="H494" s="24"/>
      <c r="I494" s="24"/>
      <c r="J494" s="24"/>
      <c r="O494" s="55"/>
    </row>
    <row r="495">
      <c r="C495" s="24"/>
      <c r="F495" s="24"/>
      <c r="H495" s="24"/>
      <c r="I495" s="24"/>
      <c r="J495" s="24"/>
      <c r="O495" s="55"/>
    </row>
    <row r="496">
      <c r="C496" s="24"/>
      <c r="F496" s="24"/>
      <c r="H496" s="24"/>
      <c r="I496" s="24"/>
      <c r="J496" s="24"/>
      <c r="O496" s="55"/>
    </row>
    <row r="497">
      <c r="C497" s="24"/>
      <c r="F497" s="24"/>
      <c r="H497" s="24"/>
      <c r="I497" s="24"/>
      <c r="J497" s="24"/>
      <c r="O497" s="55"/>
    </row>
    <row r="498">
      <c r="C498" s="24"/>
      <c r="F498" s="24"/>
      <c r="H498" s="24"/>
      <c r="I498" s="24"/>
      <c r="J498" s="24"/>
      <c r="O498" s="55"/>
    </row>
    <row r="499">
      <c r="C499" s="24"/>
      <c r="F499" s="24"/>
      <c r="H499" s="24"/>
      <c r="I499" s="24"/>
      <c r="J499" s="24"/>
      <c r="O499" s="55"/>
    </row>
    <row r="500">
      <c r="C500" s="24"/>
      <c r="F500" s="24"/>
      <c r="H500" s="24"/>
      <c r="I500" s="24"/>
      <c r="J500" s="24"/>
      <c r="O500" s="55"/>
    </row>
    <row r="501">
      <c r="C501" s="24"/>
      <c r="F501" s="24"/>
      <c r="H501" s="24"/>
      <c r="I501" s="24"/>
      <c r="J501" s="24"/>
      <c r="O501" s="55"/>
    </row>
    <row r="502">
      <c r="C502" s="24"/>
      <c r="F502" s="24"/>
      <c r="H502" s="24"/>
      <c r="I502" s="24"/>
      <c r="J502" s="24"/>
      <c r="O502" s="55"/>
    </row>
    <row r="503">
      <c r="C503" s="24"/>
      <c r="F503" s="24"/>
      <c r="H503" s="24"/>
      <c r="I503" s="24"/>
      <c r="J503" s="24"/>
      <c r="O503" s="55"/>
    </row>
    <row r="504">
      <c r="C504" s="24"/>
      <c r="F504" s="24"/>
      <c r="H504" s="24"/>
      <c r="I504" s="24"/>
      <c r="J504" s="24"/>
      <c r="O504" s="55"/>
    </row>
    <row r="505">
      <c r="C505" s="24"/>
      <c r="F505" s="24"/>
      <c r="H505" s="24"/>
      <c r="I505" s="24"/>
      <c r="J505" s="24"/>
      <c r="O505" s="55"/>
    </row>
    <row r="506">
      <c r="C506" s="24"/>
      <c r="F506" s="24"/>
      <c r="H506" s="24"/>
      <c r="I506" s="24"/>
      <c r="J506" s="24"/>
      <c r="O506" s="55"/>
    </row>
    <row r="507">
      <c r="C507" s="24"/>
      <c r="F507" s="24"/>
      <c r="H507" s="24"/>
      <c r="I507" s="24"/>
      <c r="J507" s="24"/>
      <c r="O507" s="55"/>
    </row>
    <row r="508">
      <c r="C508" s="24"/>
      <c r="F508" s="24"/>
      <c r="H508" s="24"/>
      <c r="I508" s="24"/>
      <c r="J508" s="24"/>
      <c r="O508" s="55"/>
    </row>
    <row r="509">
      <c r="C509" s="24"/>
      <c r="F509" s="24"/>
      <c r="H509" s="24"/>
      <c r="I509" s="24"/>
      <c r="J509" s="24"/>
      <c r="O509" s="55"/>
    </row>
    <row r="510">
      <c r="C510" s="24"/>
      <c r="F510" s="24"/>
      <c r="H510" s="24"/>
      <c r="I510" s="24"/>
      <c r="J510" s="24"/>
      <c r="O510" s="55"/>
    </row>
    <row r="511">
      <c r="C511" s="24"/>
      <c r="F511" s="24"/>
      <c r="H511" s="24"/>
      <c r="I511" s="24"/>
      <c r="J511" s="24"/>
      <c r="O511" s="55"/>
    </row>
    <row r="512">
      <c r="C512" s="24"/>
      <c r="F512" s="24"/>
      <c r="H512" s="24"/>
      <c r="I512" s="24"/>
      <c r="J512" s="24"/>
      <c r="O512" s="55"/>
    </row>
    <row r="513">
      <c r="C513" s="24"/>
      <c r="F513" s="24"/>
      <c r="H513" s="24"/>
      <c r="I513" s="24"/>
      <c r="J513" s="24"/>
      <c r="O513" s="55"/>
    </row>
    <row r="514">
      <c r="C514" s="24"/>
      <c r="F514" s="24"/>
      <c r="H514" s="24"/>
      <c r="I514" s="24"/>
      <c r="J514" s="24"/>
      <c r="O514" s="55"/>
    </row>
    <row r="515">
      <c r="C515" s="24"/>
      <c r="F515" s="24"/>
      <c r="H515" s="24"/>
      <c r="I515" s="24"/>
      <c r="J515" s="24"/>
      <c r="O515" s="55"/>
    </row>
    <row r="516">
      <c r="C516" s="24"/>
      <c r="F516" s="24"/>
      <c r="H516" s="24"/>
      <c r="I516" s="24"/>
      <c r="J516" s="24"/>
      <c r="O516" s="55"/>
    </row>
    <row r="517">
      <c r="C517" s="24"/>
      <c r="F517" s="24"/>
      <c r="H517" s="24"/>
      <c r="I517" s="24"/>
      <c r="J517" s="24"/>
      <c r="O517" s="55"/>
    </row>
    <row r="518">
      <c r="C518" s="24"/>
      <c r="F518" s="24"/>
      <c r="H518" s="24"/>
      <c r="I518" s="24"/>
      <c r="J518" s="24"/>
      <c r="O518" s="55"/>
    </row>
    <row r="519">
      <c r="C519" s="24"/>
      <c r="F519" s="24"/>
      <c r="H519" s="24"/>
      <c r="I519" s="24"/>
      <c r="J519" s="24"/>
      <c r="O519" s="55"/>
    </row>
    <row r="520">
      <c r="C520" s="24"/>
      <c r="F520" s="24"/>
      <c r="H520" s="24"/>
      <c r="I520" s="24"/>
      <c r="J520" s="24"/>
      <c r="O520" s="55"/>
    </row>
    <row r="521">
      <c r="C521" s="24"/>
      <c r="F521" s="24"/>
      <c r="H521" s="24"/>
      <c r="I521" s="24"/>
      <c r="J521" s="24"/>
      <c r="O521" s="55"/>
    </row>
    <row r="522">
      <c r="C522" s="24"/>
      <c r="F522" s="24"/>
      <c r="H522" s="24"/>
      <c r="I522" s="24"/>
      <c r="J522" s="24"/>
      <c r="O522" s="55"/>
    </row>
    <row r="523">
      <c r="C523" s="24"/>
      <c r="F523" s="24"/>
      <c r="H523" s="24"/>
      <c r="I523" s="24"/>
      <c r="J523" s="24"/>
      <c r="O523" s="55"/>
    </row>
    <row r="524">
      <c r="C524" s="24"/>
      <c r="F524" s="24"/>
      <c r="H524" s="24"/>
      <c r="I524" s="24"/>
      <c r="J524" s="24"/>
      <c r="O524" s="55"/>
    </row>
    <row r="525">
      <c r="C525" s="24"/>
      <c r="F525" s="24"/>
      <c r="H525" s="24"/>
      <c r="I525" s="24"/>
      <c r="J525" s="24"/>
      <c r="O525" s="55"/>
    </row>
    <row r="526">
      <c r="C526" s="24"/>
      <c r="F526" s="24"/>
      <c r="H526" s="24"/>
      <c r="I526" s="24"/>
      <c r="J526" s="24"/>
      <c r="O526" s="55"/>
    </row>
    <row r="527">
      <c r="C527" s="24"/>
      <c r="F527" s="24"/>
      <c r="H527" s="24"/>
      <c r="I527" s="24"/>
      <c r="J527" s="24"/>
      <c r="O527" s="55"/>
    </row>
    <row r="528">
      <c r="C528" s="24"/>
      <c r="F528" s="24"/>
      <c r="H528" s="24"/>
      <c r="I528" s="24"/>
      <c r="J528" s="24"/>
      <c r="O528" s="55"/>
    </row>
    <row r="529">
      <c r="C529" s="24"/>
      <c r="F529" s="24"/>
      <c r="H529" s="24"/>
      <c r="I529" s="24"/>
      <c r="J529" s="24"/>
      <c r="O529" s="55"/>
    </row>
    <row r="530">
      <c r="C530" s="24"/>
      <c r="F530" s="24"/>
      <c r="H530" s="24"/>
      <c r="I530" s="24"/>
      <c r="J530" s="24"/>
      <c r="O530" s="55"/>
    </row>
    <row r="531">
      <c r="C531" s="24"/>
      <c r="F531" s="24"/>
      <c r="H531" s="24"/>
      <c r="I531" s="24"/>
      <c r="J531" s="24"/>
      <c r="O531" s="55"/>
    </row>
    <row r="532">
      <c r="C532" s="24"/>
      <c r="F532" s="24"/>
      <c r="H532" s="24"/>
      <c r="I532" s="24"/>
      <c r="J532" s="24"/>
      <c r="O532" s="55"/>
    </row>
    <row r="533">
      <c r="C533" s="24"/>
      <c r="F533" s="24"/>
      <c r="H533" s="24"/>
      <c r="I533" s="24"/>
      <c r="J533" s="24"/>
      <c r="O533" s="55"/>
    </row>
    <row r="534">
      <c r="C534" s="24"/>
      <c r="F534" s="24"/>
      <c r="H534" s="24"/>
      <c r="I534" s="24"/>
      <c r="J534" s="24"/>
      <c r="O534" s="55"/>
    </row>
    <row r="535">
      <c r="C535" s="24"/>
      <c r="F535" s="24"/>
      <c r="H535" s="24"/>
      <c r="I535" s="24"/>
      <c r="J535" s="24"/>
      <c r="O535" s="55"/>
    </row>
    <row r="536">
      <c r="C536" s="24"/>
      <c r="F536" s="24"/>
      <c r="H536" s="24"/>
      <c r="I536" s="24"/>
      <c r="J536" s="24"/>
      <c r="O536" s="55"/>
    </row>
    <row r="537">
      <c r="C537" s="24"/>
      <c r="F537" s="24"/>
      <c r="H537" s="24"/>
      <c r="I537" s="24"/>
      <c r="J537" s="24"/>
      <c r="O537" s="55"/>
    </row>
    <row r="538">
      <c r="C538" s="24"/>
      <c r="F538" s="24"/>
      <c r="H538" s="24"/>
      <c r="I538" s="24"/>
      <c r="J538" s="24"/>
      <c r="O538" s="55"/>
    </row>
    <row r="539">
      <c r="C539" s="24"/>
      <c r="F539" s="24"/>
      <c r="H539" s="24"/>
      <c r="I539" s="24"/>
      <c r="J539" s="24"/>
      <c r="O539" s="55"/>
    </row>
    <row r="540">
      <c r="C540" s="24"/>
      <c r="F540" s="24"/>
      <c r="H540" s="24"/>
      <c r="I540" s="24"/>
      <c r="J540" s="24"/>
      <c r="O540" s="55"/>
    </row>
    <row r="541">
      <c r="C541" s="24"/>
      <c r="F541" s="24"/>
      <c r="H541" s="24"/>
      <c r="I541" s="24"/>
      <c r="J541" s="24"/>
      <c r="O541" s="55"/>
    </row>
    <row r="542">
      <c r="C542" s="24"/>
      <c r="F542" s="24"/>
      <c r="H542" s="24"/>
      <c r="I542" s="24"/>
      <c r="J542" s="24"/>
      <c r="O542" s="55"/>
    </row>
    <row r="543">
      <c r="C543" s="24"/>
      <c r="F543" s="24"/>
      <c r="H543" s="24"/>
      <c r="I543" s="24"/>
      <c r="J543" s="24"/>
      <c r="O543" s="55"/>
    </row>
    <row r="544">
      <c r="C544" s="24"/>
      <c r="F544" s="24"/>
      <c r="H544" s="24"/>
      <c r="I544" s="24"/>
      <c r="J544" s="24"/>
      <c r="O544" s="55"/>
    </row>
    <row r="545">
      <c r="C545" s="24"/>
      <c r="F545" s="24"/>
      <c r="H545" s="24"/>
      <c r="I545" s="24"/>
      <c r="J545" s="24"/>
      <c r="O545" s="55"/>
    </row>
    <row r="546">
      <c r="C546" s="24"/>
      <c r="F546" s="24"/>
      <c r="H546" s="24"/>
      <c r="I546" s="24"/>
      <c r="J546" s="24"/>
      <c r="O546" s="55"/>
    </row>
    <row r="547">
      <c r="C547" s="24"/>
      <c r="F547" s="24"/>
      <c r="H547" s="24"/>
      <c r="I547" s="24"/>
      <c r="J547" s="24"/>
      <c r="O547" s="55"/>
    </row>
    <row r="548">
      <c r="C548" s="24"/>
      <c r="F548" s="24"/>
      <c r="H548" s="24"/>
      <c r="I548" s="24"/>
      <c r="J548" s="24"/>
      <c r="O548" s="55"/>
    </row>
    <row r="549">
      <c r="C549" s="24"/>
      <c r="F549" s="24"/>
      <c r="H549" s="24"/>
      <c r="I549" s="24"/>
      <c r="J549" s="24"/>
      <c r="O549" s="55"/>
    </row>
    <row r="550">
      <c r="C550" s="24"/>
      <c r="F550" s="24"/>
      <c r="H550" s="24"/>
      <c r="I550" s="24"/>
      <c r="J550" s="24"/>
      <c r="O550" s="55"/>
    </row>
    <row r="551">
      <c r="C551" s="24"/>
      <c r="F551" s="24"/>
      <c r="H551" s="24"/>
      <c r="I551" s="24"/>
      <c r="J551" s="24"/>
      <c r="O551" s="55"/>
    </row>
    <row r="552">
      <c r="C552" s="24"/>
      <c r="F552" s="24"/>
      <c r="H552" s="24"/>
      <c r="I552" s="24"/>
      <c r="J552" s="24"/>
      <c r="O552" s="55"/>
    </row>
    <row r="553">
      <c r="C553" s="24"/>
      <c r="F553" s="24"/>
      <c r="H553" s="24"/>
      <c r="I553" s="24"/>
      <c r="J553" s="24"/>
      <c r="O553" s="55"/>
    </row>
    <row r="554">
      <c r="C554" s="24"/>
      <c r="F554" s="24"/>
      <c r="H554" s="24"/>
      <c r="I554" s="24"/>
      <c r="J554" s="24"/>
      <c r="O554" s="55"/>
    </row>
    <row r="555">
      <c r="C555" s="24"/>
      <c r="F555" s="24"/>
      <c r="H555" s="24"/>
      <c r="I555" s="24"/>
      <c r="J555" s="24"/>
      <c r="O555" s="55"/>
    </row>
    <row r="556">
      <c r="C556" s="24"/>
      <c r="F556" s="24"/>
      <c r="H556" s="24"/>
      <c r="I556" s="24"/>
      <c r="J556" s="24"/>
      <c r="O556" s="55"/>
    </row>
    <row r="557">
      <c r="C557" s="24"/>
      <c r="F557" s="24"/>
      <c r="H557" s="24"/>
      <c r="I557" s="24"/>
      <c r="J557" s="24"/>
      <c r="O557" s="55"/>
    </row>
    <row r="558">
      <c r="C558" s="24"/>
      <c r="F558" s="24"/>
      <c r="H558" s="24"/>
      <c r="I558" s="24"/>
      <c r="J558" s="24"/>
      <c r="O558" s="55"/>
    </row>
    <row r="559">
      <c r="C559" s="24"/>
      <c r="F559" s="24"/>
      <c r="H559" s="24"/>
      <c r="I559" s="24"/>
      <c r="J559" s="24"/>
      <c r="O559" s="55"/>
    </row>
    <row r="560">
      <c r="C560" s="24"/>
      <c r="F560" s="24"/>
      <c r="H560" s="24"/>
      <c r="I560" s="24"/>
      <c r="J560" s="24"/>
      <c r="O560" s="55"/>
    </row>
    <row r="561">
      <c r="C561" s="24"/>
      <c r="F561" s="24"/>
      <c r="H561" s="24"/>
      <c r="I561" s="24"/>
      <c r="J561" s="24"/>
      <c r="O561" s="55"/>
    </row>
    <row r="562">
      <c r="C562" s="24"/>
      <c r="F562" s="24"/>
      <c r="H562" s="24"/>
      <c r="I562" s="24"/>
      <c r="J562" s="24"/>
      <c r="O562" s="55"/>
    </row>
    <row r="563">
      <c r="C563" s="24"/>
      <c r="F563" s="24"/>
      <c r="H563" s="24"/>
      <c r="I563" s="24"/>
      <c r="J563" s="24"/>
      <c r="O563" s="55"/>
    </row>
    <row r="564">
      <c r="C564" s="24"/>
      <c r="F564" s="24"/>
      <c r="H564" s="24"/>
      <c r="I564" s="24"/>
      <c r="J564" s="24"/>
      <c r="O564" s="55"/>
    </row>
    <row r="565">
      <c r="C565" s="24"/>
      <c r="F565" s="24"/>
      <c r="H565" s="24"/>
      <c r="I565" s="24"/>
      <c r="J565" s="24"/>
      <c r="O565" s="55"/>
    </row>
    <row r="566">
      <c r="C566" s="24"/>
      <c r="F566" s="24"/>
      <c r="H566" s="24"/>
      <c r="I566" s="24"/>
      <c r="J566" s="24"/>
      <c r="O566" s="55"/>
    </row>
    <row r="567">
      <c r="C567" s="24"/>
      <c r="F567" s="24"/>
      <c r="H567" s="24"/>
      <c r="I567" s="24"/>
      <c r="J567" s="24"/>
      <c r="O567" s="55"/>
    </row>
    <row r="568">
      <c r="C568" s="24"/>
      <c r="F568" s="24"/>
      <c r="H568" s="24"/>
      <c r="I568" s="24"/>
      <c r="J568" s="24"/>
      <c r="O568" s="55"/>
    </row>
    <row r="569">
      <c r="C569" s="24"/>
      <c r="F569" s="24"/>
      <c r="H569" s="24"/>
      <c r="I569" s="24"/>
      <c r="J569" s="24"/>
      <c r="O569" s="55"/>
    </row>
    <row r="570">
      <c r="C570" s="24"/>
      <c r="F570" s="24"/>
      <c r="H570" s="24"/>
      <c r="I570" s="24"/>
      <c r="J570" s="24"/>
      <c r="O570" s="55"/>
    </row>
    <row r="571">
      <c r="C571" s="24"/>
      <c r="F571" s="24"/>
      <c r="H571" s="24"/>
      <c r="I571" s="24"/>
      <c r="J571" s="24"/>
      <c r="O571" s="55"/>
    </row>
    <row r="572">
      <c r="C572" s="24"/>
      <c r="F572" s="24"/>
      <c r="H572" s="24"/>
      <c r="I572" s="24"/>
      <c r="J572" s="24"/>
      <c r="O572" s="55"/>
    </row>
    <row r="573">
      <c r="C573" s="24"/>
      <c r="F573" s="24"/>
      <c r="H573" s="24"/>
      <c r="I573" s="24"/>
      <c r="J573" s="24"/>
      <c r="O573" s="55"/>
    </row>
    <row r="574">
      <c r="C574" s="24"/>
      <c r="F574" s="24"/>
      <c r="H574" s="24"/>
      <c r="I574" s="24"/>
      <c r="J574" s="24"/>
      <c r="O574" s="55"/>
    </row>
    <row r="575">
      <c r="C575" s="24"/>
      <c r="F575" s="24"/>
      <c r="H575" s="24"/>
      <c r="I575" s="24"/>
      <c r="J575" s="24"/>
      <c r="O575" s="55"/>
    </row>
    <row r="576">
      <c r="C576" s="24"/>
      <c r="F576" s="24"/>
      <c r="H576" s="24"/>
      <c r="I576" s="24"/>
      <c r="J576" s="24"/>
      <c r="O576" s="55"/>
    </row>
    <row r="577">
      <c r="C577" s="24"/>
      <c r="F577" s="24"/>
      <c r="H577" s="24"/>
      <c r="I577" s="24"/>
      <c r="J577" s="24"/>
      <c r="O577" s="55"/>
    </row>
    <row r="578">
      <c r="C578" s="24"/>
      <c r="F578" s="24"/>
      <c r="H578" s="24"/>
      <c r="I578" s="24"/>
      <c r="J578" s="24"/>
      <c r="O578" s="55"/>
    </row>
    <row r="579">
      <c r="C579" s="24"/>
      <c r="F579" s="24"/>
      <c r="H579" s="24"/>
      <c r="I579" s="24"/>
      <c r="J579" s="24"/>
      <c r="O579" s="55"/>
    </row>
    <row r="580">
      <c r="C580" s="24"/>
      <c r="F580" s="24"/>
      <c r="H580" s="24"/>
      <c r="I580" s="24"/>
      <c r="J580" s="24"/>
      <c r="O580" s="55"/>
    </row>
    <row r="581">
      <c r="C581" s="24"/>
      <c r="F581" s="24"/>
      <c r="H581" s="24"/>
      <c r="I581" s="24"/>
      <c r="J581" s="24"/>
      <c r="O581" s="55"/>
    </row>
    <row r="582">
      <c r="C582" s="24"/>
      <c r="F582" s="24"/>
      <c r="H582" s="24"/>
      <c r="I582" s="24"/>
      <c r="J582" s="24"/>
      <c r="O582" s="55"/>
    </row>
    <row r="583">
      <c r="C583" s="24"/>
      <c r="F583" s="24"/>
      <c r="H583" s="24"/>
      <c r="I583" s="24"/>
      <c r="J583" s="24"/>
      <c r="O583" s="55"/>
    </row>
    <row r="584">
      <c r="C584" s="24"/>
      <c r="F584" s="24"/>
      <c r="H584" s="24"/>
      <c r="I584" s="24"/>
      <c r="J584" s="24"/>
      <c r="O584" s="55"/>
    </row>
    <row r="585">
      <c r="C585" s="24"/>
      <c r="F585" s="24"/>
      <c r="H585" s="24"/>
      <c r="I585" s="24"/>
      <c r="J585" s="24"/>
      <c r="O585" s="55"/>
    </row>
    <row r="586">
      <c r="C586" s="24"/>
      <c r="F586" s="24"/>
      <c r="H586" s="24"/>
      <c r="I586" s="24"/>
      <c r="J586" s="24"/>
      <c r="O586" s="55"/>
    </row>
    <row r="587">
      <c r="C587" s="24"/>
      <c r="F587" s="24"/>
      <c r="H587" s="24"/>
      <c r="I587" s="24"/>
      <c r="J587" s="24"/>
      <c r="O587" s="55"/>
    </row>
    <row r="588">
      <c r="C588" s="24"/>
      <c r="F588" s="24"/>
      <c r="H588" s="24"/>
      <c r="I588" s="24"/>
      <c r="J588" s="24"/>
      <c r="O588" s="55"/>
    </row>
    <row r="589">
      <c r="C589" s="24"/>
      <c r="F589" s="24"/>
      <c r="H589" s="24"/>
      <c r="I589" s="24"/>
      <c r="J589" s="24"/>
      <c r="O589" s="55"/>
    </row>
    <row r="590">
      <c r="C590" s="24"/>
      <c r="F590" s="24"/>
      <c r="H590" s="24"/>
      <c r="I590" s="24"/>
      <c r="J590" s="24"/>
      <c r="O590" s="55"/>
    </row>
    <row r="591">
      <c r="C591" s="24"/>
      <c r="F591" s="24"/>
      <c r="H591" s="24"/>
      <c r="I591" s="24"/>
      <c r="J591" s="24"/>
      <c r="O591" s="55"/>
    </row>
    <row r="592">
      <c r="C592" s="24"/>
      <c r="F592" s="24"/>
      <c r="H592" s="24"/>
      <c r="I592" s="24"/>
      <c r="J592" s="24"/>
      <c r="O592" s="55"/>
    </row>
    <row r="593">
      <c r="C593" s="24"/>
      <c r="F593" s="24"/>
      <c r="H593" s="24"/>
      <c r="I593" s="24"/>
      <c r="J593" s="24"/>
      <c r="O593" s="55"/>
    </row>
    <row r="594">
      <c r="C594" s="24"/>
      <c r="F594" s="24"/>
      <c r="H594" s="24"/>
      <c r="I594" s="24"/>
      <c r="J594" s="24"/>
      <c r="O594" s="55"/>
    </row>
    <row r="595">
      <c r="C595" s="24"/>
      <c r="F595" s="24"/>
      <c r="H595" s="24"/>
      <c r="I595" s="24"/>
      <c r="J595" s="24"/>
      <c r="O595" s="55"/>
    </row>
    <row r="596">
      <c r="C596" s="24"/>
      <c r="F596" s="24"/>
      <c r="H596" s="24"/>
      <c r="I596" s="24"/>
      <c r="J596" s="24"/>
      <c r="O596" s="55"/>
    </row>
    <row r="597">
      <c r="C597" s="24"/>
      <c r="F597" s="24"/>
      <c r="H597" s="24"/>
      <c r="I597" s="24"/>
      <c r="J597" s="24"/>
      <c r="O597" s="55"/>
    </row>
    <row r="598">
      <c r="C598" s="24"/>
      <c r="F598" s="24"/>
      <c r="H598" s="24"/>
      <c r="I598" s="24"/>
      <c r="J598" s="24"/>
      <c r="O598" s="55"/>
    </row>
    <row r="599">
      <c r="C599" s="24"/>
      <c r="F599" s="24"/>
      <c r="H599" s="24"/>
      <c r="I599" s="24"/>
      <c r="J599" s="24"/>
      <c r="O599" s="55"/>
    </row>
    <row r="600">
      <c r="C600" s="24"/>
      <c r="F600" s="24"/>
      <c r="H600" s="24"/>
      <c r="I600" s="24"/>
      <c r="J600" s="24"/>
      <c r="O600" s="55"/>
    </row>
    <row r="601">
      <c r="C601" s="24"/>
      <c r="F601" s="24"/>
      <c r="H601" s="24"/>
      <c r="I601" s="24"/>
      <c r="J601" s="24"/>
      <c r="O601" s="55"/>
    </row>
    <row r="602">
      <c r="C602" s="24"/>
      <c r="F602" s="24"/>
      <c r="H602" s="24"/>
      <c r="I602" s="24"/>
      <c r="J602" s="24"/>
      <c r="O602" s="55"/>
    </row>
    <row r="603">
      <c r="C603" s="24"/>
      <c r="F603" s="24"/>
      <c r="H603" s="24"/>
      <c r="I603" s="24"/>
      <c r="J603" s="24"/>
      <c r="O603" s="55"/>
    </row>
    <row r="604">
      <c r="C604" s="24"/>
      <c r="F604" s="24"/>
      <c r="H604" s="24"/>
      <c r="I604" s="24"/>
      <c r="J604" s="24"/>
      <c r="O604" s="55"/>
    </row>
    <row r="605">
      <c r="C605" s="24"/>
      <c r="F605" s="24"/>
      <c r="H605" s="24"/>
      <c r="I605" s="24"/>
      <c r="J605" s="24"/>
      <c r="O605" s="55"/>
    </row>
    <row r="606">
      <c r="C606" s="24"/>
      <c r="F606" s="24"/>
      <c r="H606" s="24"/>
      <c r="I606" s="24"/>
      <c r="J606" s="24"/>
      <c r="O606" s="55"/>
    </row>
    <row r="607">
      <c r="C607" s="24"/>
      <c r="F607" s="24"/>
      <c r="H607" s="24"/>
      <c r="I607" s="24"/>
      <c r="J607" s="24"/>
      <c r="O607" s="55"/>
    </row>
    <row r="608">
      <c r="C608" s="24"/>
      <c r="F608" s="24"/>
      <c r="H608" s="24"/>
      <c r="I608" s="24"/>
      <c r="J608" s="24"/>
      <c r="O608" s="55"/>
    </row>
    <row r="609">
      <c r="C609" s="24"/>
      <c r="F609" s="24"/>
      <c r="H609" s="24"/>
      <c r="I609" s="24"/>
      <c r="J609" s="24"/>
      <c r="O609" s="55"/>
    </row>
    <row r="610">
      <c r="C610" s="24"/>
      <c r="F610" s="24"/>
      <c r="H610" s="24"/>
      <c r="I610" s="24"/>
      <c r="J610" s="24"/>
      <c r="O610" s="55"/>
    </row>
    <row r="611">
      <c r="C611" s="24"/>
      <c r="F611" s="24"/>
      <c r="H611" s="24"/>
      <c r="I611" s="24"/>
      <c r="J611" s="24"/>
      <c r="O611" s="55"/>
    </row>
    <row r="612">
      <c r="C612" s="24"/>
      <c r="F612" s="24"/>
      <c r="H612" s="24"/>
      <c r="I612" s="24"/>
      <c r="J612" s="24"/>
      <c r="O612" s="55"/>
    </row>
    <row r="613">
      <c r="C613" s="24"/>
      <c r="F613" s="24"/>
      <c r="H613" s="24"/>
      <c r="I613" s="24"/>
      <c r="J613" s="24"/>
      <c r="O613" s="55"/>
    </row>
    <row r="614">
      <c r="C614" s="24"/>
      <c r="F614" s="24"/>
      <c r="H614" s="24"/>
      <c r="I614" s="24"/>
      <c r="J614" s="24"/>
      <c r="O614" s="55"/>
    </row>
    <row r="615">
      <c r="C615" s="24"/>
      <c r="F615" s="24"/>
      <c r="H615" s="24"/>
      <c r="I615" s="24"/>
      <c r="J615" s="24"/>
      <c r="O615" s="55"/>
    </row>
    <row r="616">
      <c r="C616" s="24"/>
      <c r="F616" s="24"/>
      <c r="H616" s="24"/>
      <c r="I616" s="24"/>
      <c r="J616" s="24"/>
      <c r="O616" s="55"/>
    </row>
    <row r="617">
      <c r="C617" s="24"/>
      <c r="F617" s="24"/>
      <c r="H617" s="24"/>
      <c r="I617" s="24"/>
      <c r="J617" s="24"/>
      <c r="O617" s="55"/>
    </row>
    <row r="618">
      <c r="C618" s="24"/>
      <c r="F618" s="24"/>
      <c r="H618" s="24"/>
      <c r="I618" s="24"/>
      <c r="J618" s="24"/>
      <c r="O618" s="55"/>
    </row>
    <row r="619">
      <c r="C619" s="24"/>
      <c r="F619" s="24"/>
      <c r="H619" s="24"/>
      <c r="I619" s="24"/>
      <c r="J619" s="24"/>
      <c r="O619" s="55"/>
    </row>
    <row r="620">
      <c r="C620" s="24"/>
      <c r="F620" s="24"/>
      <c r="H620" s="24"/>
      <c r="I620" s="24"/>
      <c r="J620" s="24"/>
      <c r="O620" s="55"/>
    </row>
    <row r="621">
      <c r="C621" s="24"/>
      <c r="F621" s="24"/>
      <c r="H621" s="24"/>
      <c r="I621" s="24"/>
      <c r="J621" s="24"/>
      <c r="O621" s="55"/>
    </row>
    <row r="622">
      <c r="C622" s="24"/>
      <c r="F622" s="24"/>
      <c r="H622" s="24"/>
      <c r="I622" s="24"/>
      <c r="J622" s="24"/>
      <c r="O622" s="55"/>
    </row>
    <row r="623">
      <c r="C623" s="24"/>
      <c r="F623" s="24"/>
      <c r="H623" s="24"/>
      <c r="I623" s="24"/>
      <c r="J623" s="24"/>
      <c r="O623" s="55"/>
    </row>
    <row r="624">
      <c r="C624" s="24"/>
      <c r="F624" s="24"/>
      <c r="H624" s="24"/>
      <c r="I624" s="24"/>
      <c r="J624" s="24"/>
      <c r="O624" s="55"/>
    </row>
    <row r="625">
      <c r="C625" s="24"/>
      <c r="F625" s="24"/>
      <c r="H625" s="24"/>
      <c r="I625" s="24"/>
      <c r="J625" s="24"/>
      <c r="O625" s="55"/>
    </row>
    <row r="626">
      <c r="C626" s="24"/>
      <c r="F626" s="24"/>
      <c r="H626" s="24"/>
      <c r="I626" s="24"/>
      <c r="J626" s="24"/>
      <c r="O626" s="55"/>
    </row>
    <row r="627">
      <c r="C627" s="24"/>
      <c r="F627" s="24"/>
      <c r="H627" s="24"/>
      <c r="I627" s="24"/>
      <c r="J627" s="24"/>
      <c r="O627" s="55"/>
    </row>
    <row r="628">
      <c r="C628" s="24"/>
      <c r="F628" s="24"/>
      <c r="H628" s="24"/>
      <c r="I628" s="24"/>
      <c r="J628" s="24"/>
      <c r="O628" s="55"/>
    </row>
    <row r="629">
      <c r="C629" s="24"/>
      <c r="F629" s="24"/>
      <c r="H629" s="24"/>
      <c r="I629" s="24"/>
      <c r="J629" s="24"/>
      <c r="O629" s="55"/>
    </row>
    <row r="630">
      <c r="C630" s="24"/>
      <c r="F630" s="24"/>
      <c r="H630" s="24"/>
      <c r="I630" s="24"/>
      <c r="J630" s="24"/>
      <c r="O630" s="55"/>
    </row>
    <row r="631">
      <c r="C631" s="24"/>
      <c r="F631" s="24"/>
      <c r="H631" s="24"/>
      <c r="I631" s="24"/>
      <c r="J631" s="24"/>
      <c r="O631" s="55"/>
    </row>
    <row r="632">
      <c r="C632" s="24"/>
      <c r="F632" s="24"/>
      <c r="H632" s="24"/>
      <c r="I632" s="24"/>
      <c r="J632" s="24"/>
      <c r="O632" s="55"/>
    </row>
    <row r="633">
      <c r="C633" s="24"/>
      <c r="F633" s="24"/>
      <c r="H633" s="24"/>
      <c r="I633" s="24"/>
      <c r="J633" s="24"/>
      <c r="O633" s="55"/>
    </row>
    <row r="634">
      <c r="C634" s="24"/>
      <c r="F634" s="24"/>
      <c r="H634" s="24"/>
      <c r="I634" s="24"/>
      <c r="J634" s="24"/>
      <c r="O634" s="55"/>
    </row>
    <row r="635">
      <c r="C635" s="24"/>
      <c r="F635" s="24"/>
      <c r="H635" s="24"/>
      <c r="I635" s="24"/>
      <c r="J635" s="24"/>
      <c r="O635" s="55"/>
    </row>
    <row r="636">
      <c r="C636" s="24"/>
      <c r="F636" s="24"/>
      <c r="H636" s="24"/>
      <c r="I636" s="24"/>
      <c r="J636" s="24"/>
      <c r="O636" s="55"/>
    </row>
    <row r="637">
      <c r="C637" s="24"/>
      <c r="F637" s="24"/>
      <c r="H637" s="24"/>
      <c r="I637" s="24"/>
      <c r="J637" s="24"/>
      <c r="O637" s="55"/>
    </row>
    <row r="638">
      <c r="C638" s="24"/>
      <c r="F638" s="24"/>
      <c r="H638" s="24"/>
      <c r="I638" s="24"/>
      <c r="J638" s="24"/>
      <c r="O638" s="55"/>
    </row>
    <row r="639">
      <c r="C639" s="24"/>
      <c r="F639" s="24"/>
      <c r="H639" s="24"/>
      <c r="I639" s="24"/>
      <c r="J639" s="24"/>
      <c r="O639" s="55"/>
    </row>
    <row r="640">
      <c r="C640" s="24"/>
      <c r="F640" s="24"/>
      <c r="H640" s="24"/>
      <c r="I640" s="24"/>
      <c r="J640" s="24"/>
      <c r="O640" s="55"/>
    </row>
    <row r="641">
      <c r="C641" s="24"/>
      <c r="F641" s="24"/>
      <c r="H641" s="24"/>
      <c r="I641" s="24"/>
      <c r="J641" s="24"/>
      <c r="O641" s="55"/>
    </row>
    <row r="642">
      <c r="C642" s="24"/>
      <c r="F642" s="24"/>
      <c r="H642" s="24"/>
      <c r="I642" s="24"/>
      <c r="J642" s="24"/>
      <c r="O642" s="55"/>
    </row>
    <row r="643">
      <c r="C643" s="24"/>
      <c r="F643" s="24"/>
      <c r="H643" s="24"/>
      <c r="I643" s="24"/>
      <c r="J643" s="24"/>
      <c r="O643" s="55"/>
    </row>
    <row r="644">
      <c r="C644" s="24"/>
      <c r="F644" s="24"/>
      <c r="H644" s="24"/>
      <c r="I644" s="24"/>
      <c r="J644" s="24"/>
      <c r="O644" s="55"/>
    </row>
    <row r="645">
      <c r="C645" s="24"/>
      <c r="F645" s="24"/>
      <c r="H645" s="24"/>
      <c r="I645" s="24"/>
      <c r="J645" s="24"/>
      <c r="O645" s="55"/>
    </row>
    <row r="646">
      <c r="C646" s="24"/>
      <c r="F646" s="24"/>
      <c r="H646" s="24"/>
      <c r="I646" s="24"/>
      <c r="J646" s="24"/>
      <c r="O646" s="55"/>
    </row>
    <row r="647">
      <c r="C647" s="24"/>
      <c r="F647" s="24"/>
      <c r="H647" s="24"/>
      <c r="I647" s="24"/>
      <c r="J647" s="24"/>
      <c r="O647" s="55"/>
    </row>
    <row r="648">
      <c r="C648" s="24"/>
      <c r="F648" s="24"/>
      <c r="H648" s="24"/>
      <c r="I648" s="24"/>
      <c r="J648" s="24"/>
      <c r="O648" s="55"/>
    </row>
    <row r="649">
      <c r="C649" s="24"/>
      <c r="F649" s="24"/>
      <c r="H649" s="24"/>
      <c r="I649" s="24"/>
      <c r="J649" s="24"/>
      <c r="O649" s="55"/>
    </row>
    <row r="650">
      <c r="C650" s="24"/>
      <c r="F650" s="24"/>
      <c r="H650" s="24"/>
      <c r="I650" s="24"/>
      <c r="J650" s="24"/>
      <c r="O650" s="55"/>
    </row>
    <row r="651">
      <c r="C651" s="24"/>
      <c r="F651" s="24"/>
      <c r="H651" s="24"/>
      <c r="I651" s="24"/>
      <c r="J651" s="24"/>
      <c r="O651" s="55"/>
    </row>
    <row r="652">
      <c r="C652" s="24"/>
      <c r="F652" s="24"/>
      <c r="H652" s="24"/>
      <c r="I652" s="24"/>
      <c r="J652" s="24"/>
      <c r="O652" s="55"/>
    </row>
    <row r="653">
      <c r="C653" s="24"/>
      <c r="F653" s="24"/>
      <c r="H653" s="24"/>
      <c r="I653" s="24"/>
      <c r="J653" s="24"/>
      <c r="O653" s="55"/>
    </row>
    <row r="654">
      <c r="C654" s="24"/>
      <c r="F654" s="24"/>
      <c r="H654" s="24"/>
      <c r="I654" s="24"/>
      <c r="J654" s="24"/>
      <c r="O654" s="55"/>
    </row>
    <row r="655">
      <c r="C655" s="24"/>
      <c r="F655" s="24"/>
      <c r="H655" s="24"/>
      <c r="I655" s="24"/>
      <c r="J655" s="24"/>
      <c r="O655" s="55"/>
    </row>
    <row r="656">
      <c r="C656" s="24"/>
      <c r="F656" s="24"/>
      <c r="H656" s="24"/>
      <c r="I656" s="24"/>
      <c r="J656" s="24"/>
      <c r="O656" s="55"/>
    </row>
    <row r="657">
      <c r="C657" s="24"/>
      <c r="F657" s="24"/>
      <c r="H657" s="24"/>
      <c r="I657" s="24"/>
      <c r="J657" s="24"/>
      <c r="O657" s="55"/>
    </row>
    <row r="658">
      <c r="C658" s="24"/>
      <c r="F658" s="24"/>
      <c r="H658" s="24"/>
      <c r="I658" s="24"/>
      <c r="J658" s="24"/>
      <c r="O658" s="55"/>
    </row>
    <row r="659">
      <c r="C659" s="24"/>
      <c r="F659" s="24"/>
      <c r="H659" s="24"/>
      <c r="I659" s="24"/>
      <c r="J659" s="24"/>
      <c r="O659" s="55"/>
    </row>
    <row r="660">
      <c r="C660" s="24"/>
      <c r="F660" s="24"/>
      <c r="H660" s="24"/>
      <c r="I660" s="24"/>
      <c r="J660" s="24"/>
      <c r="O660" s="55"/>
    </row>
    <row r="661">
      <c r="C661" s="24"/>
      <c r="F661" s="24"/>
      <c r="H661" s="24"/>
      <c r="I661" s="24"/>
      <c r="J661" s="24"/>
      <c r="O661" s="55"/>
    </row>
    <row r="662">
      <c r="C662" s="24"/>
      <c r="F662" s="24"/>
      <c r="H662" s="24"/>
      <c r="I662" s="24"/>
      <c r="J662" s="24"/>
      <c r="O662" s="55"/>
    </row>
    <row r="663">
      <c r="C663" s="24"/>
      <c r="F663" s="24"/>
      <c r="H663" s="24"/>
      <c r="I663" s="24"/>
      <c r="J663" s="24"/>
      <c r="O663" s="55"/>
    </row>
    <row r="664">
      <c r="C664" s="24"/>
      <c r="F664" s="24"/>
      <c r="H664" s="24"/>
      <c r="I664" s="24"/>
      <c r="J664" s="24"/>
      <c r="O664" s="55"/>
    </row>
    <row r="665">
      <c r="C665" s="24"/>
      <c r="F665" s="24"/>
      <c r="H665" s="24"/>
      <c r="I665" s="24"/>
      <c r="J665" s="24"/>
      <c r="O665" s="55"/>
    </row>
    <row r="666">
      <c r="C666" s="24"/>
      <c r="F666" s="24"/>
      <c r="H666" s="24"/>
      <c r="I666" s="24"/>
      <c r="J666" s="24"/>
      <c r="O666" s="55"/>
    </row>
    <row r="667">
      <c r="C667" s="24"/>
      <c r="F667" s="24"/>
      <c r="H667" s="24"/>
      <c r="I667" s="24"/>
      <c r="J667" s="24"/>
      <c r="O667" s="55"/>
    </row>
    <row r="668">
      <c r="C668" s="24"/>
      <c r="F668" s="24"/>
      <c r="H668" s="24"/>
      <c r="I668" s="24"/>
      <c r="J668" s="24"/>
      <c r="O668" s="55"/>
    </row>
    <row r="669">
      <c r="C669" s="24"/>
      <c r="F669" s="24"/>
      <c r="H669" s="24"/>
      <c r="I669" s="24"/>
      <c r="J669" s="24"/>
      <c r="O669" s="55"/>
    </row>
    <row r="670">
      <c r="C670" s="24"/>
      <c r="F670" s="24"/>
      <c r="H670" s="24"/>
      <c r="I670" s="24"/>
      <c r="J670" s="24"/>
      <c r="O670" s="55"/>
    </row>
    <row r="671">
      <c r="C671" s="24"/>
      <c r="F671" s="24"/>
      <c r="H671" s="24"/>
      <c r="I671" s="24"/>
      <c r="J671" s="24"/>
      <c r="O671" s="55"/>
    </row>
    <row r="672">
      <c r="C672" s="24"/>
      <c r="F672" s="24"/>
      <c r="H672" s="24"/>
      <c r="I672" s="24"/>
      <c r="J672" s="24"/>
      <c r="O672" s="55"/>
    </row>
    <row r="673">
      <c r="C673" s="24"/>
      <c r="F673" s="24"/>
      <c r="H673" s="24"/>
      <c r="I673" s="24"/>
      <c r="J673" s="24"/>
      <c r="O673" s="55"/>
    </row>
    <row r="674">
      <c r="C674" s="24"/>
      <c r="F674" s="24"/>
      <c r="H674" s="24"/>
      <c r="I674" s="24"/>
      <c r="J674" s="24"/>
      <c r="O674" s="55"/>
    </row>
    <row r="675">
      <c r="C675" s="24"/>
      <c r="F675" s="24"/>
      <c r="H675" s="24"/>
      <c r="I675" s="24"/>
      <c r="J675" s="24"/>
      <c r="O675" s="55"/>
    </row>
    <row r="676">
      <c r="C676" s="24"/>
      <c r="F676" s="24"/>
      <c r="H676" s="24"/>
      <c r="I676" s="24"/>
      <c r="J676" s="24"/>
      <c r="O676" s="55"/>
    </row>
    <row r="677">
      <c r="C677" s="24"/>
      <c r="F677" s="24"/>
      <c r="H677" s="24"/>
      <c r="I677" s="24"/>
      <c r="J677" s="24"/>
      <c r="O677" s="55"/>
    </row>
    <row r="678">
      <c r="C678" s="24"/>
      <c r="F678" s="24"/>
      <c r="H678" s="24"/>
      <c r="I678" s="24"/>
      <c r="J678" s="24"/>
      <c r="O678" s="55"/>
    </row>
    <row r="679">
      <c r="C679" s="24"/>
      <c r="F679" s="24"/>
      <c r="H679" s="24"/>
      <c r="I679" s="24"/>
      <c r="J679" s="24"/>
      <c r="O679" s="55"/>
    </row>
    <row r="680">
      <c r="C680" s="24"/>
      <c r="F680" s="24"/>
      <c r="H680" s="24"/>
      <c r="I680" s="24"/>
      <c r="J680" s="24"/>
      <c r="O680" s="55"/>
    </row>
    <row r="681">
      <c r="C681" s="24"/>
      <c r="F681" s="24"/>
      <c r="H681" s="24"/>
      <c r="I681" s="24"/>
      <c r="J681" s="24"/>
      <c r="O681" s="55"/>
    </row>
    <row r="682">
      <c r="C682" s="24"/>
      <c r="F682" s="24"/>
      <c r="H682" s="24"/>
      <c r="I682" s="24"/>
      <c r="J682" s="24"/>
      <c r="O682" s="55"/>
    </row>
    <row r="683">
      <c r="C683" s="24"/>
      <c r="F683" s="24"/>
      <c r="H683" s="24"/>
      <c r="I683" s="24"/>
      <c r="J683" s="24"/>
      <c r="O683" s="55"/>
    </row>
    <row r="684">
      <c r="C684" s="24"/>
      <c r="F684" s="24"/>
      <c r="H684" s="24"/>
      <c r="I684" s="24"/>
      <c r="J684" s="24"/>
      <c r="O684" s="55"/>
    </row>
    <row r="685">
      <c r="C685" s="24"/>
      <c r="F685" s="24"/>
      <c r="H685" s="24"/>
      <c r="I685" s="24"/>
      <c r="J685" s="24"/>
      <c r="O685" s="55"/>
    </row>
    <row r="686">
      <c r="C686" s="24"/>
      <c r="F686" s="24"/>
      <c r="H686" s="24"/>
      <c r="I686" s="24"/>
      <c r="J686" s="24"/>
      <c r="O686" s="55"/>
    </row>
    <row r="687">
      <c r="C687" s="24"/>
      <c r="F687" s="24"/>
      <c r="H687" s="24"/>
      <c r="I687" s="24"/>
      <c r="J687" s="24"/>
      <c r="O687" s="55"/>
    </row>
    <row r="688">
      <c r="C688" s="24"/>
      <c r="F688" s="24"/>
      <c r="H688" s="24"/>
      <c r="I688" s="24"/>
      <c r="J688" s="24"/>
      <c r="O688" s="55"/>
    </row>
    <row r="689">
      <c r="C689" s="24"/>
      <c r="F689" s="24"/>
      <c r="H689" s="24"/>
      <c r="I689" s="24"/>
      <c r="J689" s="24"/>
      <c r="O689" s="55"/>
    </row>
    <row r="690">
      <c r="C690" s="24"/>
      <c r="F690" s="24"/>
      <c r="H690" s="24"/>
      <c r="I690" s="24"/>
      <c r="J690" s="24"/>
      <c r="O690" s="55"/>
    </row>
    <row r="691">
      <c r="C691" s="24"/>
      <c r="F691" s="24"/>
      <c r="H691" s="24"/>
      <c r="I691" s="24"/>
      <c r="J691" s="24"/>
      <c r="O691" s="55"/>
    </row>
    <row r="692">
      <c r="C692" s="24"/>
      <c r="F692" s="24"/>
      <c r="H692" s="24"/>
      <c r="I692" s="24"/>
      <c r="J692" s="24"/>
      <c r="O692" s="55"/>
    </row>
    <row r="693">
      <c r="C693" s="24"/>
      <c r="F693" s="24"/>
      <c r="H693" s="24"/>
      <c r="I693" s="24"/>
      <c r="J693" s="24"/>
      <c r="O693" s="55"/>
    </row>
    <row r="694">
      <c r="C694" s="24"/>
      <c r="F694" s="24"/>
      <c r="H694" s="24"/>
      <c r="I694" s="24"/>
      <c r="J694" s="24"/>
      <c r="O694" s="55"/>
    </row>
    <row r="695">
      <c r="C695" s="24"/>
      <c r="F695" s="24"/>
      <c r="H695" s="24"/>
      <c r="I695" s="24"/>
      <c r="J695" s="24"/>
      <c r="O695" s="55"/>
    </row>
    <row r="696">
      <c r="C696" s="24"/>
      <c r="F696" s="24"/>
      <c r="H696" s="24"/>
      <c r="I696" s="24"/>
      <c r="J696" s="24"/>
      <c r="O696" s="55"/>
    </row>
    <row r="697">
      <c r="C697" s="24"/>
      <c r="F697" s="24"/>
      <c r="H697" s="24"/>
      <c r="I697" s="24"/>
      <c r="J697" s="24"/>
      <c r="O697" s="55"/>
    </row>
    <row r="698">
      <c r="C698" s="24"/>
      <c r="F698" s="24"/>
      <c r="H698" s="24"/>
      <c r="I698" s="24"/>
      <c r="J698" s="24"/>
      <c r="O698" s="55"/>
    </row>
    <row r="699">
      <c r="C699" s="24"/>
      <c r="F699" s="24"/>
      <c r="H699" s="24"/>
      <c r="I699" s="24"/>
      <c r="J699" s="24"/>
      <c r="O699" s="55"/>
    </row>
    <row r="700">
      <c r="C700" s="24"/>
      <c r="F700" s="24"/>
      <c r="H700" s="24"/>
      <c r="I700" s="24"/>
      <c r="J700" s="24"/>
      <c r="O700" s="55"/>
    </row>
    <row r="701">
      <c r="C701" s="24"/>
      <c r="F701" s="24"/>
      <c r="H701" s="24"/>
      <c r="I701" s="24"/>
      <c r="J701" s="24"/>
      <c r="O701" s="55"/>
    </row>
    <row r="702">
      <c r="C702" s="24"/>
      <c r="F702" s="24"/>
      <c r="H702" s="24"/>
      <c r="I702" s="24"/>
      <c r="J702" s="24"/>
      <c r="O702" s="55"/>
    </row>
    <row r="703">
      <c r="C703" s="24"/>
      <c r="F703" s="24"/>
      <c r="H703" s="24"/>
      <c r="I703" s="24"/>
      <c r="J703" s="24"/>
      <c r="O703" s="55"/>
    </row>
    <row r="704">
      <c r="C704" s="24"/>
      <c r="F704" s="24"/>
      <c r="H704" s="24"/>
      <c r="I704" s="24"/>
      <c r="J704" s="24"/>
      <c r="O704" s="55"/>
    </row>
    <row r="705">
      <c r="C705" s="24"/>
      <c r="F705" s="24"/>
      <c r="H705" s="24"/>
      <c r="I705" s="24"/>
      <c r="J705" s="24"/>
      <c r="O705" s="55"/>
    </row>
    <row r="706">
      <c r="C706" s="24"/>
      <c r="F706" s="24"/>
      <c r="H706" s="24"/>
      <c r="I706" s="24"/>
      <c r="J706" s="24"/>
      <c r="O706" s="55"/>
    </row>
    <row r="707">
      <c r="C707" s="24"/>
      <c r="F707" s="24"/>
      <c r="H707" s="24"/>
      <c r="I707" s="24"/>
      <c r="J707" s="24"/>
      <c r="O707" s="55"/>
    </row>
    <row r="708">
      <c r="C708" s="24"/>
      <c r="F708" s="24"/>
      <c r="H708" s="24"/>
      <c r="I708" s="24"/>
      <c r="J708" s="24"/>
      <c r="O708" s="55"/>
    </row>
    <row r="709">
      <c r="C709" s="24"/>
      <c r="F709" s="24"/>
      <c r="H709" s="24"/>
      <c r="I709" s="24"/>
      <c r="J709" s="24"/>
      <c r="O709" s="55"/>
    </row>
    <row r="710">
      <c r="C710" s="24"/>
      <c r="F710" s="24"/>
      <c r="H710" s="24"/>
      <c r="I710" s="24"/>
      <c r="J710" s="24"/>
      <c r="O710" s="55"/>
    </row>
    <row r="711">
      <c r="C711" s="24"/>
      <c r="F711" s="24"/>
      <c r="H711" s="24"/>
      <c r="I711" s="24"/>
      <c r="J711" s="24"/>
      <c r="O711" s="55"/>
    </row>
    <row r="712">
      <c r="C712" s="24"/>
      <c r="F712" s="24"/>
      <c r="H712" s="24"/>
      <c r="I712" s="24"/>
      <c r="J712" s="24"/>
      <c r="O712" s="55"/>
    </row>
    <row r="713">
      <c r="C713" s="24"/>
      <c r="F713" s="24"/>
      <c r="H713" s="24"/>
      <c r="I713" s="24"/>
      <c r="J713" s="24"/>
      <c r="O713" s="55"/>
    </row>
    <row r="714">
      <c r="C714" s="24"/>
      <c r="F714" s="24"/>
      <c r="H714" s="24"/>
      <c r="I714" s="24"/>
      <c r="J714" s="24"/>
      <c r="O714" s="55"/>
    </row>
    <row r="715">
      <c r="C715" s="24"/>
      <c r="F715" s="24"/>
      <c r="H715" s="24"/>
      <c r="I715" s="24"/>
      <c r="J715" s="24"/>
      <c r="O715" s="55"/>
    </row>
    <row r="716">
      <c r="C716" s="24"/>
      <c r="F716" s="24"/>
      <c r="H716" s="24"/>
      <c r="I716" s="24"/>
      <c r="J716" s="24"/>
      <c r="O716" s="55"/>
    </row>
    <row r="717">
      <c r="C717" s="24"/>
      <c r="F717" s="24"/>
      <c r="H717" s="24"/>
      <c r="I717" s="24"/>
      <c r="J717" s="24"/>
      <c r="O717" s="55"/>
    </row>
    <row r="718">
      <c r="C718" s="24"/>
      <c r="F718" s="24"/>
      <c r="H718" s="24"/>
      <c r="I718" s="24"/>
      <c r="J718" s="24"/>
      <c r="O718" s="55"/>
    </row>
    <row r="719">
      <c r="C719" s="24"/>
      <c r="F719" s="24"/>
      <c r="H719" s="24"/>
      <c r="I719" s="24"/>
      <c r="J719" s="24"/>
      <c r="O719" s="55"/>
    </row>
    <row r="720">
      <c r="C720" s="24"/>
      <c r="F720" s="24"/>
      <c r="H720" s="24"/>
      <c r="I720" s="24"/>
      <c r="J720" s="24"/>
      <c r="O720" s="55"/>
    </row>
    <row r="721">
      <c r="C721" s="24"/>
      <c r="F721" s="24"/>
      <c r="H721" s="24"/>
      <c r="I721" s="24"/>
      <c r="J721" s="24"/>
      <c r="O721" s="55"/>
    </row>
    <row r="722">
      <c r="C722" s="24"/>
      <c r="F722" s="24"/>
      <c r="H722" s="24"/>
      <c r="I722" s="24"/>
      <c r="J722" s="24"/>
      <c r="O722" s="55"/>
    </row>
    <row r="723">
      <c r="C723" s="24"/>
      <c r="F723" s="24"/>
      <c r="H723" s="24"/>
      <c r="I723" s="24"/>
      <c r="J723" s="24"/>
      <c r="O723" s="55"/>
    </row>
    <row r="724">
      <c r="C724" s="24"/>
      <c r="F724" s="24"/>
      <c r="H724" s="24"/>
      <c r="I724" s="24"/>
      <c r="J724" s="24"/>
      <c r="O724" s="55"/>
    </row>
    <row r="725">
      <c r="C725" s="24"/>
      <c r="F725" s="24"/>
      <c r="H725" s="24"/>
      <c r="I725" s="24"/>
      <c r="J725" s="24"/>
      <c r="O725" s="55"/>
    </row>
    <row r="726">
      <c r="C726" s="24"/>
      <c r="F726" s="24"/>
      <c r="H726" s="24"/>
      <c r="I726" s="24"/>
      <c r="J726" s="24"/>
      <c r="O726" s="55"/>
    </row>
    <row r="727">
      <c r="C727" s="24"/>
      <c r="F727" s="24"/>
      <c r="H727" s="24"/>
      <c r="I727" s="24"/>
      <c r="J727" s="24"/>
      <c r="O727" s="55"/>
    </row>
    <row r="728">
      <c r="C728" s="24"/>
      <c r="F728" s="24"/>
      <c r="H728" s="24"/>
      <c r="I728" s="24"/>
      <c r="J728" s="24"/>
      <c r="O728" s="55"/>
    </row>
    <row r="729">
      <c r="C729" s="24"/>
      <c r="F729" s="24"/>
      <c r="H729" s="24"/>
      <c r="I729" s="24"/>
      <c r="J729" s="24"/>
      <c r="O729" s="55"/>
    </row>
    <row r="730">
      <c r="C730" s="24"/>
      <c r="F730" s="24"/>
      <c r="H730" s="24"/>
      <c r="I730" s="24"/>
      <c r="J730" s="24"/>
      <c r="O730" s="55"/>
    </row>
    <row r="731">
      <c r="C731" s="24"/>
      <c r="F731" s="24"/>
      <c r="H731" s="24"/>
      <c r="I731" s="24"/>
      <c r="J731" s="24"/>
      <c r="O731" s="55"/>
    </row>
    <row r="732">
      <c r="C732" s="24"/>
      <c r="F732" s="24"/>
      <c r="H732" s="24"/>
      <c r="I732" s="24"/>
      <c r="J732" s="24"/>
      <c r="O732" s="55"/>
    </row>
    <row r="733">
      <c r="C733" s="24"/>
      <c r="F733" s="24"/>
      <c r="H733" s="24"/>
      <c r="I733" s="24"/>
      <c r="J733" s="24"/>
      <c r="O733" s="55"/>
    </row>
    <row r="734">
      <c r="C734" s="24"/>
      <c r="F734" s="24"/>
      <c r="H734" s="24"/>
      <c r="I734" s="24"/>
      <c r="J734" s="24"/>
      <c r="O734" s="55"/>
    </row>
    <row r="735">
      <c r="C735" s="24"/>
      <c r="F735" s="24"/>
      <c r="H735" s="24"/>
      <c r="I735" s="24"/>
      <c r="J735" s="24"/>
      <c r="O735" s="55"/>
    </row>
    <row r="736">
      <c r="C736" s="24"/>
      <c r="F736" s="24"/>
      <c r="H736" s="24"/>
      <c r="I736" s="24"/>
      <c r="J736" s="24"/>
      <c r="O736" s="55"/>
    </row>
    <row r="737">
      <c r="C737" s="24"/>
      <c r="F737" s="24"/>
      <c r="H737" s="24"/>
      <c r="I737" s="24"/>
      <c r="J737" s="24"/>
      <c r="O737" s="55"/>
    </row>
    <row r="738">
      <c r="C738" s="24"/>
      <c r="F738" s="24"/>
      <c r="H738" s="24"/>
      <c r="I738" s="24"/>
      <c r="J738" s="24"/>
      <c r="O738" s="55"/>
    </row>
    <row r="739">
      <c r="C739" s="24"/>
      <c r="F739" s="24"/>
      <c r="H739" s="24"/>
      <c r="I739" s="24"/>
      <c r="J739" s="24"/>
      <c r="O739" s="55"/>
    </row>
    <row r="740">
      <c r="C740" s="24"/>
      <c r="F740" s="24"/>
      <c r="H740" s="24"/>
      <c r="I740" s="24"/>
      <c r="J740" s="24"/>
      <c r="O740" s="55"/>
    </row>
    <row r="741">
      <c r="C741" s="24"/>
      <c r="F741" s="24"/>
      <c r="H741" s="24"/>
      <c r="I741" s="24"/>
      <c r="J741" s="24"/>
      <c r="O741" s="55"/>
    </row>
    <row r="742">
      <c r="C742" s="24"/>
      <c r="F742" s="24"/>
      <c r="H742" s="24"/>
      <c r="I742" s="24"/>
      <c r="J742" s="24"/>
      <c r="O742" s="55"/>
    </row>
    <row r="743">
      <c r="C743" s="24"/>
      <c r="F743" s="24"/>
      <c r="H743" s="24"/>
      <c r="I743" s="24"/>
      <c r="J743" s="24"/>
      <c r="O743" s="55"/>
    </row>
    <row r="744">
      <c r="C744" s="24"/>
      <c r="F744" s="24"/>
      <c r="H744" s="24"/>
      <c r="I744" s="24"/>
      <c r="J744" s="24"/>
      <c r="O744" s="55"/>
    </row>
    <row r="745">
      <c r="C745" s="24"/>
      <c r="F745" s="24"/>
      <c r="H745" s="24"/>
      <c r="I745" s="24"/>
      <c r="J745" s="24"/>
      <c r="O745" s="55"/>
    </row>
    <row r="746">
      <c r="C746" s="24"/>
      <c r="F746" s="24"/>
      <c r="H746" s="24"/>
      <c r="I746" s="24"/>
      <c r="J746" s="24"/>
      <c r="O746" s="55"/>
    </row>
    <row r="747">
      <c r="C747" s="24"/>
      <c r="F747" s="24"/>
      <c r="H747" s="24"/>
      <c r="I747" s="24"/>
      <c r="J747" s="24"/>
      <c r="O747" s="55"/>
    </row>
    <row r="748">
      <c r="C748" s="24"/>
      <c r="F748" s="24"/>
      <c r="H748" s="24"/>
      <c r="I748" s="24"/>
      <c r="J748" s="24"/>
      <c r="O748" s="55"/>
    </row>
    <row r="749">
      <c r="C749" s="24"/>
      <c r="F749" s="24"/>
      <c r="H749" s="24"/>
      <c r="I749" s="24"/>
      <c r="J749" s="24"/>
      <c r="O749" s="55"/>
    </row>
    <row r="750">
      <c r="C750" s="24"/>
      <c r="F750" s="24"/>
      <c r="H750" s="24"/>
      <c r="I750" s="24"/>
      <c r="J750" s="24"/>
      <c r="O750" s="55"/>
    </row>
    <row r="751">
      <c r="C751" s="24"/>
      <c r="F751" s="24"/>
      <c r="H751" s="24"/>
      <c r="I751" s="24"/>
      <c r="J751" s="24"/>
      <c r="O751" s="55"/>
    </row>
    <row r="752">
      <c r="C752" s="24"/>
      <c r="F752" s="24"/>
      <c r="H752" s="24"/>
      <c r="I752" s="24"/>
      <c r="J752" s="24"/>
      <c r="O752" s="55"/>
    </row>
    <row r="753">
      <c r="C753" s="24"/>
      <c r="F753" s="24"/>
      <c r="H753" s="24"/>
      <c r="I753" s="24"/>
      <c r="J753" s="24"/>
      <c r="O753" s="55"/>
    </row>
    <row r="754">
      <c r="C754" s="24"/>
      <c r="F754" s="24"/>
      <c r="H754" s="24"/>
      <c r="I754" s="24"/>
      <c r="J754" s="24"/>
      <c r="O754" s="55"/>
    </row>
    <row r="755">
      <c r="C755" s="24"/>
      <c r="F755" s="24"/>
      <c r="H755" s="24"/>
      <c r="I755" s="24"/>
      <c r="J755" s="24"/>
      <c r="O755" s="55"/>
    </row>
    <row r="756">
      <c r="C756" s="24"/>
      <c r="F756" s="24"/>
      <c r="H756" s="24"/>
      <c r="I756" s="24"/>
      <c r="J756" s="24"/>
      <c r="O756" s="55"/>
    </row>
    <row r="757">
      <c r="C757" s="24"/>
      <c r="F757" s="24"/>
      <c r="H757" s="24"/>
      <c r="I757" s="24"/>
      <c r="J757" s="24"/>
      <c r="O757" s="55"/>
    </row>
    <row r="758">
      <c r="C758" s="24"/>
      <c r="F758" s="24"/>
      <c r="H758" s="24"/>
      <c r="I758" s="24"/>
      <c r="J758" s="24"/>
      <c r="O758" s="55"/>
    </row>
    <row r="759">
      <c r="C759" s="24"/>
      <c r="F759" s="24"/>
      <c r="H759" s="24"/>
      <c r="I759" s="24"/>
      <c r="J759" s="24"/>
      <c r="O759" s="55"/>
    </row>
    <row r="760">
      <c r="C760" s="24"/>
      <c r="F760" s="24"/>
      <c r="H760" s="24"/>
      <c r="I760" s="24"/>
      <c r="J760" s="24"/>
      <c r="O760" s="55"/>
    </row>
    <row r="761">
      <c r="C761" s="24"/>
      <c r="F761" s="24"/>
      <c r="H761" s="24"/>
      <c r="I761" s="24"/>
      <c r="J761" s="24"/>
      <c r="O761" s="55"/>
    </row>
    <row r="762">
      <c r="C762" s="24"/>
      <c r="F762" s="24"/>
      <c r="H762" s="24"/>
      <c r="I762" s="24"/>
      <c r="J762" s="24"/>
      <c r="O762" s="55"/>
    </row>
    <row r="763">
      <c r="C763" s="24"/>
      <c r="F763" s="24"/>
      <c r="H763" s="24"/>
      <c r="I763" s="24"/>
      <c r="J763" s="24"/>
      <c r="O763" s="55"/>
    </row>
    <row r="764">
      <c r="C764" s="24"/>
      <c r="F764" s="24"/>
      <c r="H764" s="24"/>
      <c r="I764" s="24"/>
      <c r="J764" s="24"/>
      <c r="O764" s="55"/>
    </row>
    <row r="765">
      <c r="C765" s="24"/>
      <c r="F765" s="24"/>
      <c r="H765" s="24"/>
      <c r="I765" s="24"/>
      <c r="J765" s="24"/>
      <c r="O765" s="55"/>
    </row>
    <row r="766">
      <c r="C766" s="24"/>
      <c r="F766" s="24"/>
      <c r="H766" s="24"/>
      <c r="I766" s="24"/>
      <c r="J766" s="24"/>
      <c r="O766" s="55"/>
    </row>
    <row r="767">
      <c r="C767" s="24"/>
      <c r="F767" s="24"/>
      <c r="H767" s="24"/>
      <c r="I767" s="24"/>
      <c r="J767" s="24"/>
      <c r="O767" s="55"/>
    </row>
    <row r="768">
      <c r="C768" s="24"/>
      <c r="F768" s="24"/>
      <c r="H768" s="24"/>
      <c r="I768" s="24"/>
      <c r="J768" s="24"/>
      <c r="O768" s="55"/>
    </row>
    <row r="769">
      <c r="C769" s="24"/>
      <c r="F769" s="24"/>
      <c r="H769" s="24"/>
      <c r="I769" s="24"/>
      <c r="J769" s="24"/>
      <c r="O769" s="55"/>
    </row>
    <row r="770">
      <c r="C770" s="24"/>
      <c r="F770" s="24"/>
      <c r="H770" s="24"/>
      <c r="I770" s="24"/>
      <c r="J770" s="24"/>
      <c r="O770" s="55"/>
    </row>
    <row r="771">
      <c r="C771" s="24"/>
      <c r="F771" s="24"/>
      <c r="H771" s="24"/>
      <c r="I771" s="24"/>
      <c r="J771" s="24"/>
      <c r="O771" s="55"/>
    </row>
    <row r="772">
      <c r="C772" s="24"/>
      <c r="F772" s="24"/>
      <c r="H772" s="24"/>
      <c r="I772" s="24"/>
      <c r="J772" s="24"/>
      <c r="O772" s="55"/>
    </row>
    <row r="773">
      <c r="C773" s="24"/>
      <c r="F773" s="24"/>
      <c r="H773" s="24"/>
      <c r="I773" s="24"/>
      <c r="J773" s="24"/>
      <c r="O773" s="55"/>
    </row>
    <row r="774">
      <c r="C774" s="24"/>
      <c r="F774" s="24"/>
      <c r="H774" s="24"/>
      <c r="I774" s="24"/>
      <c r="J774" s="24"/>
      <c r="O774" s="55"/>
    </row>
    <row r="775">
      <c r="C775" s="24"/>
      <c r="F775" s="24"/>
      <c r="H775" s="24"/>
      <c r="I775" s="24"/>
      <c r="J775" s="24"/>
      <c r="O775" s="55"/>
    </row>
    <row r="776">
      <c r="C776" s="24"/>
      <c r="F776" s="24"/>
      <c r="H776" s="24"/>
      <c r="I776" s="24"/>
      <c r="J776" s="24"/>
      <c r="O776" s="55"/>
    </row>
    <row r="777">
      <c r="C777" s="24"/>
      <c r="F777" s="24"/>
      <c r="H777" s="24"/>
      <c r="I777" s="24"/>
      <c r="J777" s="24"/>
      <c r="O777" s="55"/>
    </row>
    <row r="778">
      <c r="C778" s="24"/>
      <c r="F778" s="24"/>
      <c r="H778" s="24"/>
      <c r="I778" s="24"/>
      <c r="J778" s="24"/>
      <c r="O778" s="55"/>
    </row>
    <row r="779">
      <c r="C779" s="24"/>
      <c r="F779" s="24"/>
      <c r="H779" s="24"/>
      <c r="I779" s="24"/>
      <c r="J779" s="24"/>
      <c r="O779" s="55"/>
    </row>
    <row r="780">
      <c r="C780" s="24"/>
      <c r="F780" s="24"/>
      <c r="H780" s="24"/>
      <c r="I780" s="24"/>
      <c r="J780" s="24"/>
      <c r="O780" s="55"/>
    </row>
    <row r="781">
      <c r="C781" s="24"/>
      <c r="F781" s="24"/>
      <c r="H781" s="24"/>
      <c r="I781" s="24"/>
      <c r="J781" s="24"/>
      <c r="O781" s="55"/>
    </row>
    <row r="782">
      <c r="C782" s="24"/>
      <c r="F782" s="24"/>
      <c r="H782" s="24"/>
      <c r="I782" s="24"/>
      <c r="J782" s="24"/>
      <c r="O782" s="55"/>
    </row>
    <row r="783">
      <c r="C783" s="24"/>
      <c r="F783" s="24"/>
      <c r="H783" s="24"/>
      <c r="I783" s="24"/>
      <c r="J783" s="24"/>
      <c r="O783" s="55"/>
    </row>
    <row r="784">
      <c r="C784" s="24"/>
      <c r="F784" s="24"/>
      <c r="H784" s="24"/>
      <c r="I784" s="24"/>
      <c r="J784" s="24"/>
      <c r="O784" s="55"/>
    </row>
    <row r="785">
      <c r="C785" s="24"/>
      <c r="F785" s="24"/>
      <c r="H785" s="24"/>
      <c r="I785" s="24"/>
      <c r="J785" s="24"/>
      <c r="O785" s="55"/>
    </row>
    <row r="786">
      <c r="C786" s="24"/>
      <c r="F786" s="24"/>
      <c r="H786" s="24"/>
      <c r="I786" s="24"/>
      <c r="J786" s="24"/>
      <c r="O786" s="55"/>
    </row>
    <row r="787">
      <c r="C787" s="24"/>
      <c r="F787" s="24"/>
      <c r="H787" s="24"/>
      <c r="I787" s="24"/>
      <c r="J787" s="24"/>
      <c r="O787" s="55"/>
    </row>
    <row r="788">
      <c r="C788" s="24"/>
      <c r="F788" s="24"/>
      <c r="H788" s="24"/>
      <c r="I788" s="24"/>
      <c r="J788" s="24"/>
      <c r="O788" s="55"/>
    </row>
    <row r="789">
      <c r="C789" s="24"/>
      <c r="F789" s="24"/>
      <c r="H789" s="24"/>
      <c r="I789" s="24"/>
      <c r="J789" s="24"/>
      <c r="O789" s="55"/>
    </row>
    <row r="790">
      <c r="C790" s="24"/>
      <c r="F790" s="24"/>
      <c r="H790" s="24"/>
      <c r="I790" s="24"/>
      <c r="J790" s="24"/>
      <c r="O790" s="55"/>
    </row>
    <row r="791">
      <c r="C791" s="24"/>
      <c r="F791" s="24"/>
      <c r="H791" s="24"/>
      <c r="I791" s="24"/>
      <c r="J791" s="24"/>
      <c r="O791" s="55"/>
    </row>
    <row r="792">
      <c r="C792" s="24"/>
      <c r="F792" s="24"/>
      <c r="H792" s="24"/>
      <c r="I792" s="24"/>
      <c r="J792" s="24"/>
      <c r="O792" s="55"/>
    </row>
    <row r="793">
      <c r="C793" s="24"/>
      <c r="F793" s="24"/>
      <c r="H793" s="24"/>
      <c r="I793" s="24"/>
      <c r="J793" s="24"/>
      <c r="O793" s="55"/>
    </row>
    <row r="794">
      <c r="C794" s="24"/>
      <c r="F794" s="24"/>
      <c r="H794" s="24"/>
      <c r="I794" s="24"/>
      <c r="J794" s="24"/>
      <c r="O794" s="55"/>
    </row>
    <row r="795">
      <c r="C795" s="24"/>
      <c r="F795" s="24"/>
      <c r="H795" s="24"/>
      <c r="I795" s="24"/>
      <c r="J795" s="24"/>
      <c r="O795" s="55"/>
    </row>
    <row r="796">
      <c r="C796" s="24"/>
      <c r="F796" s="24"/>
      <c r="H796" s="24"/>
      <c r="I796" s="24"/>
      <c r="J796" s="24"/>
      <c r="O796" s="55"/>
    </row>
    <row r="797">
      <c r="C797" s="24"/>
      <c r="F797" s="24"/>
      <c r="H797" s="24"/>
      <c r="I797" s="24"/>
      <c r="J797" s="24"/>
      <c r="O797" s="55"/>
    </row>
    <row r="798">
      <c r="C798" s="24"/>
      <c r="F798" s="24"/>
      <c r="H798" s="24"/>
      <c r="I798" s="24"/>
      <c r="J798" s="24"/>
      <c r="O798" s="55"/>
    </row>
    <row r="799">
      <c r="C799" s="24"/>
      <c r="F799" s="24"/>
      <c r="H799" s="24"/>
      <c r="I799" s="24"/>
      <c r="J799" s="24"/>
      <c r="O799" s="55"/>
    </row>
    <row r="800">
      <c r="C800" s="24"/>
      <c r="F800" s="24"/>
      <c r="H800" s="24"/>
      <c r="I800" s="24"/>
      <c r="J800" s="24"/>
      <c r="O800" s="55"/>
    </row>
    <row r="801">
      <c r="C801" s="24"/>
      <c r="F801" s="24"/>
      <c r="H801" s="24"/>
      <c r="I801" s="24"/>
      <c r="J801" s="24"/>
      <c r="O801" s="55"/>
    </row>
    <row r="802">
      <c r="C802" s="24"/>
      <c r="F802" s="24"/>
      <c r="H802" s="24"/>
      <c r="I802" s="24"/>
      <c r="J802" s="24"/>
      <c r="O802" s="55"/>
    </row>
    <row r="803">
      <c r="C803" s="24"/>
      <c r="F803" s="24"/>
      <c r="H803" s="24"/>
      <c r="I803" s="24"/>
      <c r="J803" s="24"/>
      <c r="O803" s="55"/>
    </row>
    <row r="804">
      <c r="C804" s="24"/>
      <c r="F804" s="24"/>
      <c r="H804" s="24"/>
      <c r="I804" s="24"/>
      <c r="J804" s="24"/>
      <c r="O804" s="55"/>
    </row>
    <row r="805">
      <c r="C805" s="24"/>
      <c r="F805" s="24"/>
      <c r="H805" s="24"/>
      <c r="I805" s="24"/>
      <c r="J805" s="24"/>
      <c r="O805" s="55"/>
    </row>
    <row r="806">
      <c r="C806" s="24"/>
      <c r="F806" s="24"/>
      <c r="H806" s="24"/>
      <c r="I806" s="24"/>
      <c r="J806" s="24"/>
      <c r="O806" s="55"/>
    </row>
    <row r="807">
      <c r="C807" s="24"/>
      <c r="F807" s="24"/>
      <c r="H807" s="24"/>
      <c r="I807" s="24"/>
      <c r="J807" s="24"/>
      <c r="O807" s="55"/>
    </row>
    <row r="808">
      <c r="C808" s="24"/>
      <c r="F808" s="24"/>
      <c r="H808" s="24"/>
      <c r="I808" s="24"/>
      <c r="J808" s="24"/>
      <c r="O808" s="55"/>
    </row>
    <row r="809">
      <c r="C809" s="24"/>
      <c r="F809" s="24"/>
      <c r="H809" s="24"/>
      <c r="I809" s="24"/>
      <c r="J809" s="24"/>
      <c r="O809" s="55"/>
    </row>
    <row r="810">
      <c r="C810" s="24"/>
      <c r="F810" s="24"/>
      <c r="H810" s="24"/>
      <c r="I810" s="24"/>
      <c r="J810" s="24"/>
      <c r="O810" s="55"/>
    </row>
    <row r="811">
      <c r="C811" s="24"/>
      <c r="F811" s="24"/>
      <c r="H811" s="24"/>
      <c r="I811" s="24"/>
      <c r="J811" s="24"/>
      <c r="O811" s="55"/>
    </row>
    <row r="812">
      <c r="C812" s="24"/>
      <c r="F812" s="24"/>
      <c r="H812" s="24"/>
      <c r="I812" s="24"/>
      <c r="J812" s="24"/>
      <c r="O812" s="55"/>
    </row>
    <row r="813">
      <c r="C813" s="24"/>
      <c r="F813" s="24"/>
      <c r="H813" s="24"/>
      <c r="I813" s="24"/>
      <c r="J813" s="24"/>
      <c r="O813" s="55"/>
    </row>
    <row r="814">
      <c r="C814" s="24"/>
      <c r="F814" s="24"/>
      <c r="H814" s="24"/>
      <c r="I814" s="24"/>
      <c r="J814" s="24"/>
      <c r="O814" s="55"/>
    </row>
    <row r="815">
      <c r="C815" s="24"/>
      <c r="F815" s="24"/>
      <c r="H815" s="24"/>
      <c r="I815" s="24"/>
      <c r="J815" s="24"/>
      <c r="O815" s="55"/>
    </row>
    <row r="816">
      <c r="C816" s="24"/>
      <c r="F816" s="24"/>
      <c r="H816" s="24"/>
      <c r="I816" s="24"/>
      <c r="J816" s="24"/>
      <c r="O816" s="55"/>
    </row>
    <row r="817">
      <c r="C817" s="24"/>
      <c r="F817" s="24"/>
      <c r="H817" s="24"/>
      <c r="I817" s="24"/>
      <c r="J817" s="24"/>
      <c r="O817" s="55"/>
    </row>
    <row r="818">
      <c r="C818" s="24"/>
      <c r="F818" s="24"/>
      <c r="H818" s="24"/>
      <c r="I818" s="24"/>
      <c r="J818" s="24"/>
      <c r="O818" s="55"/>
    </row>
    <row r="819">
      <c r="C819" s="24"/>
      <c r="F819" s="24"/>
      <c r="H819" s="24"/>
      <c r="I819" s="24"/>
      <c r="J819" s="24"/>
      <c r="O819" s="55"/>
    </row>
    <row r="820">
      <c r="C820" s="24"/>
      <c r="F820" s="24"/>
      <c r="H820" s="24"/>
      <c r="I820" s="24"/>
      <c r="J820" s="24"/>
      <c r="O820" s="55"/>
    </row>
    <row r="821">
      <c r="C821" s="24"/>
      <c r="F821" s="24"/>
      <c r="H821" s="24"/>
      <c r="I821" s="24"/>
      <c r="J821" s="24"/>
      <c r="O821" s="55"/>
    </row>
    <row r="822">
      <c r="C822" s="24"/>
      <c r="F822" s="24"/>
      <c r="H822" s="24"/>
      <c r="I822" s="24"/>
      <c r="J822" s="24"/>
      <c r="O822" s="55"/>
    </row>
    <row r="823">
      <c r="C823" s="24"/>
      <c r="F823" s="24"/>
      <c r="H823" s="24"/>
      <c r="I823" s="24"/>
      <c r="J823" s="24"/>
      <c r="O823" s="55"/>
    </row>
    <row r="824">
      <c r="C824" s="24"/>
      <c r="F824" s="24"/>
      <c r="H824" s="24"/>
      <c r="I824" s="24"/>
      <c r="J824" s="24"/>
      <c r="O824" s="55"/>
    </row>
    <row r="825">
      <c r="C825" s="24"/>
      <c r="F825" s="24"/>
      <c r="H825" s="24"/>
      <c r="I825" s="24"/>
      <c r="J825" s="24"/>
      <c r="O825" s="55"/>
    </row>
    <row r="826">
      <c r="C826" s="24"/>
      <c r="F826" s="24"/>
      <c r="H826" s="24"/>
      <c r="I826" s="24"/>
      <c r="J826" s="24"/>
      <c r="O826" s="55"/>
    </row>
    <row r="827">
      <c r="C827" s="24"/>
      <c r="F827" s="24"/>
      <c r="H827" s="24"/>
      <c r="I827" s="24"/>
      <c r="J827" s="24"/>
      <c r="O827" s="55"/>
    </row>
    <row r="828">
      <c r="C828" s="24"/>
      <c r="F828" s="24"/>
      <c r="H828" s="24"/>
      <c r="I828" s="24"/>
      <c r="J828" s="24"/>
      <c r="O828" s="55"/>
    </row>
    <row r="829">
      <c r="C829" s="24"/>
      <c r="F829" s="24"/>
      <c r="H829" s="24"/>
      <c r="I829" s="24"/>
      <c r="J829" s="24"/>
      <c r="O829" s="55"/>
    </row>
    <row r="830">
      <c r="C830" s="24"/>
      <c r="F830" s="24"/>
      <c r="H830" s="24"/>
      <c r="I830" s="24"/>
      <c r="J830" s="24"/>
      <c r="O830" s="55"/>
    </row>
    <row r="831">
      <c r="C831" s="24"/>
      <c r="F831" s="24"/>
      <c r="H831" s="24"/>
      <c r="I831" s="24"/>
      <c r="J831" s="24"/>
      <c r="O831" s="55"/>
    </row>
    <row r="832">
      <c r="C832" s="24"/>
      <c r="F832" s="24"/>
      <c r="H832" s="24"/>
      <c r="I832" s="24"/>
      <c r="J832" s="24"/>
      <c r="O832" s="55"/>
    </row>
    <row r="833">
      <c r="C833" s="24"/>
      <c r="F833" s="24"/>
      <c r="H833" s="24"/>
      <c r="I833" s="24"/>
      <c r="J833" s="24"/>
      <c r="O833" s="55"/>
    </row>
    <row r="834">
      <c r="C834" s="24"/>
      <c r="F834" s="24"/>
      <c r="H834" s="24"/>
      <c r="I834" s="24"/>
      <c r="J834" s="24"/>
      <c r="O834" s="55"/>
    </row>
    <row r="835">
      <c r="C835" s="24"/>
      <c r="F835" s="24"/>
      <c r="H835" s="24"/>
      <c r="I835" s="24"/>
      <c r="J835" s="24"/>
      <c r="O835" s="55"/>
    </row>
    <row r="836">
      <c r="C836" s="24"/>
      <c r="F836" s="24"/>
      <c r="H836" s="24"/>
      <c r="I836" s="24"/>
      <c r="J836" s="24"/>
      <c r="O836" s="55"/>
    </row>
    <row r="837">
      <c r="C837" s="24"/>
      <c r="F837" s="24"/>
      <c r="H837" s="24"/>
      <c r="I837" s="24"/>
      <c r="J837" s="24"/>
      <c r="O837" s="55"/>
    </row>
    <row r="838">
      <c r="C838" s="24"/>
      <c r="F838" s="24"/>
      <c r="H838" s="24"/>
      <c r="I838" s="24"/>
      <c r="J838" s="24"/>
      <c r="O838" s="55"/>
    </row>
    <row r="839">
      <c r="C839" s="24"/>
      <c r="F839" s="24"/>
      <c r="H839" s="24"/>
      <c r="I839" s="24"/>
      <c r="J839" s="24"/>
      <c r="O839" s="55"/>
    </row>
    <row r="840">
      <c r="C840" s="24"/>
      <c r="F840" s="24"/>
      <c r="H840" s="24"/>
      <c r="I840" s="24"/>
      <c r="J840" s="24"/>
      <c r="O840" s="55"/>
    </row>
    <row r="841">
      <c r="C841" s="24"/>
      <c r="F841" s="24"/>
      <c r="H841" s="24"/>
      <c r="I841" s="24"/>
      <c r="J841" s="24"/>
      <c r="O841" s="55"/>
    </row>
    <row r="842">
      <c r="C842" s="24"/>
      <c r="F842" s="24"/>
      <c r="H842" s="24"/>
      <c r="I842" s="24"/>
      <c r="J842" s="24"/>
      <c r="O842" s="55"/>
    </row>
    <row r="843">
      <c r="C843" s="24"/>
      <c r="F843" s="24"/>
      <c r="H843" s="24"/>
      <c r="I843" s="24"/>
      <c r="J843" s="24"/>
      <c r="O843" s="55"/>
    </row>
    <row r="844">
      <c r="C844" s="24"/>
      <c r="F844" s="24"/>
      <c r="H844" s="24"/>
      <c r="I844" s="24"/>
      <c r="J844" s="24"/>
      <c r="O844" s="55"/>
    </row>
    <row r="845">
      <c r="C845" s="24"/>
      <c r="F845" s="24"/>
      <c r="H845" s="24"/>
      <c r="I845" s="24"/>
      <c r="J845" s="24"/>
      <c r="O845" s="55"/>
    </row>
    <row r="846">
      <c r="C846" s="24"/>
      <c r="F846" s="24"/>
      <c r="H846" s="24"/>
      <c r="I846" s="24"/>
      <c r="J846" s="24"/>
      <c r="O846" s="55"/>
    </row>
    <row r="847">
      <c r="C847" s="24"/>
      <c r="F847" s="24"/>
      <c r="H847" s="24"/>
      <c r="I847" s="24"/>
      <c r="J847" s="24"/>
      <c r="O847" s="55"/>
    </row>
    <row r="848">
      <c r="C848" s="24"/>
      <c r="F848" s="24"/>
      <c r="H848" s="24"/>
      <c r="I848" s="24"/>
      <c r="J848" s="24"/>
      <c r="O848" s="55"/>
    </row>
    <row r="849">
      <c r="C849" s="24"/>
      <c r="F849" s="24"/>
      <c r="H849" s="24"/>
      <c r="I849" s="24"/>
      <c r="J849" s="24"/>
      <c r="O849" s="55"/>
    </row>
    <row r="850">
      <c r="C850" s="24"/>
      <c r="F850" s="24"/>
      <c r="H850" s="24"/>
      <c r="I850" s="24"/>
      <c r="J850" s="24"/>
      <c r="O850" s="55"/>
    </row>
    <row r="851">
      <c r="C851" s="24"/>
      <c r="F851" s="24"/>
      <c r="H851" s="24"/>
      <c r="I851" s="24"/>
      <c r="J851" s="24"/>
      <c r="O851" s="55"/>
    </row>
    <row r="852">
      <c r="C852" s="24"/>
      <c r="F852" s="24"/>
      <c r="H852" s="24"/>
      <c r="I852" s="24"/>
      <c r="J852" s="24"/>
      <c r="O852" s="55"/>
    </row>
    <row r="853">
      <c r="C853" s="24"/>
      <c r="F853" s="24"/>
      <c r="H853" s="24"/>
      <c r="I853" s="24"/>
      <c r="J853" s="24"/>
      <c r="O853" s="55"/>
    </row>
    <row r="854">
      <c r="C854" s="24"/>
      <c r="F854" s="24"/>
      <c r="H854" s="24"/>
      <c r="I854" s="24"/>
      <c r="J854" s="24"/>
      <c r="O854" s="55"/>
    </row>
    <row r="855">
      <c r="C855" s="24"/>
      <c r="F855" s="24"/>
      <c r="H855" s="24"/>
      <c r="I855" s="24"/>
      <c r="J855" s="24"/>
      <c r="O855" s="55"/>
    </row>
    <row r="856">
      <c r="C856" s="24"/>
      <c r="F856" s="24"/>
      <c r="H856" s="24"/>
      <c r="I856" s="24"/>
      <c r="J856" s="24"/>
      <c r="O856" s="55"/>
    </row>
    <row r="857">
      <c r="C857" s="24"/>
      <c r="F857" s="24"/>
      <c r="H857" s="24"/>
      <c r="I857" s="24"/>
      <c r="J857" s="24"/>
      <c r="O857" s="55"/>
    </row>
    <row r="858">
      <c r="C858" s="24"/>
      <c r="F858" s="24"/>
      <c r="H858" s="24"/>
      <c r="I858" s="24"/>
      <c r="J858" s="24"/>
      <c r="O858" s="55"/>
    </row>
    <row r="859">
      <c r="C859" s="24"/>
      <c r="F859" s="24"/>
      <c r="H859" s="24"/>
      <c r="I859" s="24"/>
      <c r="J859" s="24"/>
      <c r="O859" s="55"/>
    </row>
    <row r="860">
      <c r="C860" s="24"/>
      <c r="F860" s="24"/>
      <c r="H860" s="24"/>
      <c r="I860" s="24"/>
      <c r="J860" s="24"/>
      <c r="O860" s="55"/>
    </row>
    <row r="861">
      <c r="C861" s="24"/>
      <c r="F861" s="24"/>
      <c r="H861" s="24"/>
      <c r="I861" s="24"/>
      <c r="J861" s="24"/>
      <c r="O861" s="55"/>
    </row>
    <row r="862">
      <c r="C862" s="24"/>
      <c r="F862" s="24"/>
      <c r="H862" s="24"/>
      <c r="I862" s="24"/>
      <c r="J862" s="24"/>
      <c r="O862" s="55"/>
    </row>
    <row r="863">
      <c r="C863" s="24"/>
      <c r="F863" s="24"/>
      <c r="H863" s="24"/>
      <c r="I863" s="24"/>
      <c r="J863" s="24"/>
      <c r="O863" s="55"/>
    </row>
    <row r="864">
      <c r="C864" s="24"/>
      <c r="F864" s="24"/>
      <c r="H864" s="24"/>
      <c r="I864" s="24"/>
      <c r="J864" s="24"/>
      <c r="O864" s="55"/>
    </row>
    <row r="865">
      <c r="C865" s="24"/>
      <c r="F865" s="24"/>
      <c r="H865" s="24"/>
      <c r="I865" s="24"/>
      <c r="J865" s="24"/>
      <c r="O865" s="55"/>
    </row>
    <row r="866">
      <c r="C866" s="24"/>
      <c r="F866" s="24"/>
      <c r="H866" s="24"/>
      <c r="I866" s="24"/>
      <c r="J866" s="24"/>
      <c r="O866" s="55"/>
    </row>
    <row r="867">
      <c r="C867" s="24"/>
      <c r="F867" s="24"/>
      <c r="H867" s="24"/>
      <c r="I867" s="24"/>
      <c r="J867" s="24"/>
      <c r="O867" s="55"/>
    </row>
    <row r="868">
      <c r="C868" s="24"/>
      <c r="F868" s="24"/>
      <c r="H868" s="24"/>
      <c r="I868" s="24"/>
      <c r="J868" s="24"/>
      <c r="O868" s="55"/>
    </row>
    <row r="869">
      <c r="C869" s="24"/>
      <c r="F869" s="24"/>
      <c r="H869" s="24"/>
      <c r="I869" s="24"/>
      <c r="J869" s="24"/>
      <c r="O869" s="55"/>
    </row>
    <row r="870">
      <c r="C870" s="24"/>
      <c r="F870" s="24"/>
      <c r="H870" s="24"/>
      <c r="I870" s="24"/>
      <c r="J870" s="24"/>
      <c r="O870" s="55"/>
    </row>
    <row r="871">
      <c r="C871" s="24"/>
      <c r="F871" s="24"/>
      <c r="H871" s="24"/>
      <c r="I871" s="24"/>
      <c r="J871" s="24"/>
      <c r="O871" s="55"/>
    </row>
    <row r="872">
      <c r="C872" s="24"/>
      <c r="F872" s="24"/>
      <c r="H872" s="24"/>
      <c r="I872" s="24"/>
      <c r="J872" s="24"/>
      <c r="O872" s="55"/>
    </row>
    <row r="873">
      <c r="C873" s="24"/>
      <c r="F873" s="24"/>
      <c r="H873" s="24"/>
      <c r="I873" s="24"/>
      <c r="J873" s="24"/>
      <c r="O873" s="55"/>
    </row>
    <row r="874">
      <c r="C874" s="24"/>
      <c r="F874" s="24"/>
      <c r="H874" s="24"/>
      <c r="I874" s="24"/>
      <c r="J874" s="24"/>
      <c r="O874" s="55"/>
    </row>
    <row r="875">
      <c r="C875" s="24"/>
      <c r="F875" s="24"/>
      <c r="H875" s="24"/>
      <c r="I875" s="24"/>
      <c r="J875" s="24"/>
      <c r="O875" s="55"/>
    </row>
    <row r="876">
      <c r="C876" s="24"/>
      <c r="F876" s="24"/>
      <c r="H876" s="24"/>
      <c r="I876" s="24"/>
      <c r="J876" s="24"/>
      <c r="O876" s="55"/>
    </row>
    <row r="877">
      <c r="C877" s="24"/>
      <c r="F877" s="24"/>
      <c r="H877" s="24"/>
      <c r="I877" s="24"/>
      <c r="J877" s="24"/>
      <c r="O877" s="55"/>
    </row>
    <row r="878">
      <c r="C878" s="24"/>
      <c r="F878" s="24"/>
      <c r="H878" s="24"/>
      <c r="I878" s="24"/>
      <c r="J878" s="24"/>
      <c r="O878" s="55"/>
    </row>
    <row r="879">
      <c r="C879" s="24"/>
      <c r="F879" s="24"/>
      <c r="H879" s="24"/>
      <c r="I879" s="24"/>
      <c r="J879" s="24"/>
      <c r="O879" s="55"/>
    </row>
    <row r="880">
      <c r="C880" s="24"/>
      <c r="F880" s="24"/>
      <c r="H880" s="24"/>
      <c r="I880" s="24"/>
      <c r="J880" s="24"/>
      <c r="O880" s="55"/>
    </row>
    <row r="881">
      <c r="C881" s="24"/>
      <c r="F881" s="24"/>
      <c r="H881" s="24"/>
      <c r="I881" s="24"/>
      <c r="J881" s="24"/>
      <c r="O881" s="55"/>
    </row>
    <row r="882">
      <c r="C882" s="24"/>
      <c r="F882" s="24"/>
      <c r="H882" s="24"/>
      <c r="I882" s="24"/>
      <c r="J882" s="24"/>
      <c r="O882" s="55"/>
    </row>
    <row r="883">
      <c r="C883" s="24"/>
      <c r="F883" s="24"/>
      <c r="H883" s="24"/>
      <c r="I883" s="24"/>
      <c r="J883" s="24"/>
      <c r="O883" s="55"/>
    </row>
    <row r="884">
      <c r="C884" s="24"/>
      <c r="F884" s="24"/>
      <c r="H884" s="24"/>
      <c r="I884" s="24"/>
      <c r="J884" s="24"/>
      <c r="O884" s="55"/>
    </row>
    <row r="885">
      <c r="C885" s="24"/>
      <c r="F885" s="24"/>
      <c r="H885" s="24"/>
      <c r="I885" s="24"/>
      <c r="J885" s="24"/>
      <c r="O885" s="55"/>
    </row>
    <row r="886">
      <c r="C886" s="24"/>
      <c r="F886" s="24"/>
      <c r="H886" s="24"/>
      <c r="I886" s="24"/>
      <c r="J886" s="24"/>
      <c r="O886" s="55"/>
    </row>
    <row r="887">
      <c r="C887" s="24"/>
      <c r="F887" s="24"/>
      <c r="H887" s="24"/>
      <c r="I887" s="24"/>
      <c r="J887" s="24"/>
      <c r="O887" s="55"/>
    </row>
    <row r="888">
      <c r="C888" s="24"/>
      <c r="F888" s="24"/>
      <c r="H888" s="24"/>
      <c r="I888" s="24"/>
      <c r="J888" s="24"/>
      <c r="O888" s="55"/>
    </row>
    <row r="889">
      <c r="C889" s="24"/>
      <c r="F889" s="24"/>
      <c r="H889" s="24"/>
      <c r="I889" s="24"/>
      <c r="J889" s="24"/>
      <c r="O889" s="55"/>
    </row>
    <row r="890">
      <c r="C890" s="24"/>
      <c r="F890" s="24"/>
      <c r="H890" s="24"/>
      <c r="I890" s="24"/>
      <c r="J890" s="24"/>
      <c r="O890" s="55"/>
    </row>
    <row r="891">
      <c r="C891" s="24"/>
      <c r="F891" s="24"/>
      <c r="H891" s="24"/>
      <c r="I891" s="24"/>
      <c r="J891" s="24"/>
      <c r="O891" s="55"/>
    </row>
    <row r="892">
      <c r="C892" s="24"/>
      <c r="F892" s="24"/>
      <c r="H892" s="24"/>
      <c r="I892" s="24"/>
      <c r="J892" s="24"/>
      <c r="O892" s="55"/>
    </row>
    <row r="893">
      <c r="C893" s="24"/>
      <c r="F893" s="24"/>
      <c r="H893" s="24"/>
      <c r="I893" s="24"/>
      <c r="J893" s="24"/>
      <c r="O893" s="55"/>
    </row>
    <row r="894">
      <c r="C894" s="24"/>
      <c r="F894" s="24"/>
      <c r="H894" s="24"/>
      <c r="I894" s="24"/>
      <c r="J894" s="24"/>
      <c r="O894" s="55"/>
    </row>
    <row r="895">
      <c r="C895" s="24"/>
      <c r="F895" s="24"/>
      <c r="H895" s="24"/>
      <c r="I895" s="24"/>
      <c r="J895" s="24"/>
      <c r="O895" s="55"/>
    </row>
    <row r="896">
      <c r="C896" s="24"/>
      <c r="F896" s="24"/>
      <c r="H896" s="24"/>
      <c r="I896" s="24"/>
      <c r="J896" s="24"/>
      <c r="O896" s="55"/>
    </row>
    <row r="897">
      <c r="C897" s="24"/>
      <c r="F897" s="24"/>
      <c r="H897" s="24"/>
      <c r="I897" s="24"/>
      <c r="J897" s="24"/>
      <c r="O897" s="55"/>
    </row>
    <row r="898">
      <c r="C898" s="24"/>
      <c r="F898" s="24"/>
      <c r="H898" s="24"/>
      <c r="I898" s="24"/>
      <c r="J898" s="24"/>
      <c r="O898" s="55"/>
    </row>
    <row r="899">
      <c r="C899" s="24"/>
      <c r="F899" s="24"/>
      <c r="H899" s="24"/>
      <c r="I899" s="24"/>
      <c r="J899" s="24"/>
      <c r="O899" s="55"/>
    </row>
    <row r="900">
      <c r="C900" s="24"/>
      <c r="F900" s="24"/>
      <c r="H900" s="24"/>
      <c r="I900" s="24"/>
      <c r="J900" s="24"/>
      <c r="O900" s="55"/>
    </row>
    <row r="901">
      <c r="C901" s="24"/>
      <c r="F901" s="24"/>
      <c r="H901" s="24"/>
      <c r="I901" s="24"/>
      <c r="J901" s="24"/>
      <c r="O901" s="55"/>
    </row>
    <row r="902">
      <c r="C902" s="24"/>
      <c r="F902" s="24"/>
      <c r="H902" s="24"/>
      <c r="I902" s="24"/>
      <c r="J902" s="24"/>
      <c r="O902" s="55"/>
    </row>
    <row r="903">
      <c r="C903" s="24"/>
      <c r="F903" s="24"/>
      <c r="H903" s="24"/>
      <c r="I903" s="24"/>
      <c r="J903" s="24"/>
      <c r="O903" s="55"/>
    </row>
    <row r="904">
      <c r="C904" s="24"/>
      <c r="F904" s="24"/>
      <c r="H904" s="24"/>
      <c r="I904" s="24"/>
      <c r="J904" s="24"/>
      <c r="O904" s="55"/>
    </row>
    <row r="905">
      <c r="C905" s="24"/>
      <c r="F905" s="24"/>
      <c r="H905" s="24"/>
      <c r="I905" s="24"/>
      <c r="J905" s="24"/>
      <c r="O905" s="55"/>
    </row>
    <row r="906">
      <c r="C906" s="24"/>
      <c r="F906" s="24"/>
      <c r="H906" s="24"/>
      <c r="I906" s="24"/>
      <c r="J906" s="24"/>
      <c r="O906" s="55"/>
    </row>
    <row r="907">
      <c r="C907" s="24"/>
      <c r="F907" s="24"/>
      <c r="H907" s="24"/>
      <c r="I907" s="24"/>
      <c r="J907" s="24"/>
      <c r="O907" s="55"/>
    </row>
    <row r="908">
      <c r="C908" s="24"/>
      <c r="F908" s="24"/>
      <c r="H908" s="24"/>
      <c r="I908" s="24"/>
      <c r="J908" s="24"/>
      <c r="O908" s="55"/>
    </row>
    <row r="909">
      <c r="C909" s="24"/>
      <c r="F909" s="24"/>
      <c r="H909" s="24"/>
      <c r="I909" s="24"/>
      <c r="J909" s="24"/>
      <c r="O909" s="55"/>
    </row>
    <row r="910">
      <c r="C910" s="24"/>
      <c r="F910" s="24"/>
      <c r="H910" s="24"/>
      <c r="I910" s="24"/>
      <c r="J910" s="24"/>
      <c r="O910" s="55"/>
    </row>
    <row r="911">
      <c r="C911" s="24"/>
      <c r="F911" s="24"/>
      <c r="H911" s="24"/>
      <c r="I911" s="24"/>
      <c r="J911" s="24"/>
      <c r="O911" s="55"/>
    </row>
    <row r="912">
      <c r="C912" s="24"/>
      <c r="F912" s="24"/>
      <c r="H912" s="24"/>
      <c r="I912" s="24"/>
      <c r="J912" s="24"/>
      <c r="O912" s="55"/>
    </row>
    <row r="913">
      <c r="C913" s="24"/>
      <c r="F913" s="24"/>
      <c r="H913" s="24"/>
      <c r="I913" s="24"/>
      <c r="J913" s="24"/>
      <c r="O913" s="55"/>
    </row>
    <row r="914">
      <c r="C914" s="24"/>
      <c r="F914" s="24"/>
      <c r="H914" s="24"/>
      <c r="I914" s="24"/>
      <c r="J914" s="24"/>
      <c r="O914" s="55"/>
    </row>
    <row r="915">
      <c r="C915" s="24"/>
      <c r="F915" s="24"/>
      <c r="H915" s="24"/>
      <c r="I915" s="24"/>
      <c r="J915" s="24"/>
      <c r="O915" s="55"/>
    </row>
    <row r="916">
      <c r="C916" s="24"/>
      <c r="F916" s="24"/>
      <c r="H916" s="24"/>
      <c r="I916" s="24"/>
      <c r="J916" s="24"/>
      <c r="O916" s="55"/>
    </row>
    <row r="917">
      <c r="C917" s="24"/>
      <c r="F917" s="24"/>
      <c r="H917" s="24"/>
      <c r="I917" s="24"/>
      <c r="J917" s="24"/>
      <c r="O917" s="55"/>
    </row>
    <row r="918">
      <c r="C918" s="24"/>
      <c r="F918" s="24"/>
      <c r="H918" s="24"/>
      <c r="I918" s="24"/>
      <c r="J918" s="24"/>
      <c r="O918" s="55"/>
    </row>
    <row r="919">
      <c r="C919" s="24"/>
      <c r="F919" s="24"/>
      <c r="H919" s="24"/>
      <c r="I919" s="24"/>
      <c r="J919" s="24"/>
      <c r="O919" s="55"/>
    </row>
    <row r="920">
      <c r="C920" s="24"/>
      <c r="F920" s="24"/>
      <c r="H920" s="24"/>
      <c r="I920" s="24"/>
      <c r="J920" s="24"/>
      <c r="O920" s="55"/>
    </row>
    <row r="921">
      <c r="C921" s="24"/>
      <c r="F921" s="24"/>
      <c r="H921" s="24"/>
      <c r="I921" s="24"/>
      <c r="J921" s="24"/>
      <c r="O921" s="55"/>
    </row>
    <row r="922">
      <c r="C922" s="24"/>
      <c r="F922" s="24"/>
      <c r="H922" s="24"/>
      <c r="I922" s="24"/>
      <c r="J922" s="24"/>
      <c r="O922" s="55"/>
    </row>
    <row r="923">
      <c r="C923" s="24"/>
      <c r="F923" s="24"/>
      <c r="H923" s="24"/>
      <c r="I923" s="24"/>
      <c r="J923" s="24"/>
      <c r="O923" s="55"/>
    </row>
    <row r="924">
      <c r="C924" s="24"/>
      <c r="F924" s="24"/>
      <c r="H924" s="24"/>
      <c r="I924" s="24"/>
      <c r="J924" s="24"/>
      <c r="O924" s="55"/>
    </row>
    <row r="925">
      <c r="C925" s="24"/>
      <c r="F925" s="24"/>
      <c r="H925" s="24"/>
      <c r="I925" s="24"/>
      <c r="J925" s="24"/>
      <c r="O925" s="55"/>
    </row>
    <row r="926">
      <c r="C926" s="24"/>
      <c r="F926" s="24"/>
      <c r="H926" s="24"/>
      <c r="I926" s="24"/>
      <c r="J926" s="24"/>
      <c r="O926" s="55"/>
    </row>
    <row r="927">
      <c r="C927" s="24"/>
      <c r="F927" s="24"/>
      <c r="H927" s="24"/>
      <c r="I927" s="24"/>
      <c r="J927" s="24"/>
      <c r="O927" s="55"/>
    </row>
    <row r="928">
      <c r="C928" s="24"/>
      <c r="F928" s="24"/>
      <c r="H928" s="24"/>
      <c r="I928" s="24"/>
      <c r="J928" s="24"/>
      <c r="O928" s="55"/>
    </row>
    <row r="929">
      <c r="C929" s="24"/>
      <c r="F929" s="24"/>
      <c r="H929" s="24"/>
      <c r="I929" s="24"/>
      <c r="J929" s="24"/>
      <c r="O929" s="55"/>
    </row>
    <row r="930">
      <c r="C930" s="24"/>
      <c r="F930" s="24"/>
      <c r="H930" s="24"/>
      <c r="I930" s="24"/>
      <c r="J930" s="24"/>
      <c r="O930" s="55"/>
    </row>
    <row r="931">
      <c r="C931" s="24"/>
      <c r="F931" s="24"/>
      <c r="H931" s="24"/>
      <c r="I931" s="24"/>
      <c r="J931" s="24"/>
      <c r="O931" s="55"/>
    </row>
    <row r="932">
      <c r="C932" s="24"/>
      <c r="F932" s="24"/>
      <c r="H932" s="24"/>
      <c r="I932" s="24"/>
      <c r="J932" s="24"/>
      <c r="O932" s="55"/>
    </row>
    <row r="933">
      <c r="C933" s="24"/>
      <c r="F933" s="24"/>
      <c r="H933" s="24"/>
      <c r="I933" s="24"/>
      <c r="J933" s="24"/>
      <c r="O933" s="55"/>
    </row>
    <row r="934">
      <c r="C934" s="24"/>
      <c r="F934" s="24"/>
      <c r="H934" s="24"/>
      <c r="I934" s="24"/>
      <c r="J934" s="24"/>
      <c r="O934" s="55"/>
    </row>
    <row r="935">
      <c r="C935" s="24"/>
      <c r="F935" s="24"/>
      <c r="H935" s="24"/>
      <c r="I935" s="24"/>
      <c r="J935" s="24"/>
      <c r="O935" s="55"/>
    </row>
    <row r="936">
      <c r="C936" s="24"/>
      <c r="F936" s="24"/>
      <c r="H936" s="24"/>
      <c r="I936" s="24"/>
      <c r="J936" s="24"/>
      <c r="O936" s="55"/>
    </row>
    <row r="937">
      <c r="C937" s="24"/>
      <c r="F937" s="24"/>
      <c r="H937" s="24"/>
      <c r="I937" s="24"/>
      <c r="J937" s="24"/>
      <c r="O937" s="55"/>
    </row>
    <row r="938">
      <c r="C938" s="24"/>
      <c r="F938" s="24"/>
      <c r="H938" s="24"/>
      <c r="I938" s="24"/>
      <c r="J938" s="24"/>
      <c r="O938" s="55"/>
    </row>
    <row r="939">
      <c r="C939" s="24"/>
      <c r="F939" s="24"/>
      <c r="H939" s="24"/>
      <c r="I939" s="24"/>
      <c r="J939" s="24"/>
      <c r="O939" s="55"/>
    </row>
    <row r="940">
      <c r="C940" s="24"/>
      <c r="F940" s="24"/>
      <c r="H940" s="24"/>
      <c r="I940" s="24"/>
      <c r="J940" s="24"/>
      <c r="O940" s="55"/>
    </row>
    <row r="941">
      <c r="C941" s="24"/>
      <c r="F941" s="24"/>
      <c r="H941" s="24"/>
      <c r="I941" s="24"/>
      <c r="J941" s="24"/>
      <c r="O941" s="55"/>
    </row>
    <row r="942">
      <c r="C942" s="24"/>
      <c r="F942" s="24"/>
      <c r="H942" s="24"/>
      <c r="I942" s="24"/>
      <c r="J942" s="24"/>
      <c r="O942" s="55"/>
    </row>
    <row r="943">
      <c r="C943" s="24"/>
      <c r="F943" s="24"/>
      <c r="H943" s="24"/>
      <c r="I943" s="24"/>
      <c r="J943" s="24"/>
      <c r="O943" s="55"/>
    </row>
    <row r="944">
      <c r="C944" s="24"/>
      <c r="F944" s="24"/>
      <c r="H944" s="24"/>
      <c r="I944" s="24"/>
      <c r="J944" s="24"/>
      <c r="O944" s="55"/>
    </row>
    <row r="945">
      <c r="C945" s="24"/>
      <c r="F945" s="24"/>
      <c r="H945" s="24"/>
      <c r="I945" s="24"/>
      <c r="J945" s="24"/>
      <c r="O945" s="55"/>
    </row>
    <row r="946">
      <c r="C946" s="24"/>
      <c r="F946" s="24"/>
      <c r="H946" s="24"/>
      <c r="I946" s="24"/>
      <c r="J946" s="24"/>
      <c r="O946" s="55"/>
    </row>
    <row r="947">
      <c r="C947" s="24"/>
      <c r="F947" s="24"/>
      <c r="H947" s="24"/>
      <c r="I947" s="24"/>
      <c r="J947" s="24"/>
      <c r="O947" s="55"/>
    </row>
    <row r="948">
      <c r="C948" s="24"/>
      <c r="F948" s="24"/>
      <c r="H948" s="24"/>
      <c r="I948" s="24"/>
      <c r="J948" s="24"/>
      <c r="O948" s="55"/>
    </row>
    <row r="949">
      <c r="C949" s="24"/>
      <c r="F949" s="24"/>
      <c r="H949" s="24"/>
      <c r="I949" s="24"/>
      <c r="J949" s="24"/>
      <c r="O949" s="55"/>
    </row>
    <row r="950">
      <c r="C950" s="24"/>
      <c r="F950" s="24"/>
      <c r="H950" s="24"/>
      <c r="I950" s="24"/>
      <c r="J950" s="24"/>
      <c r="O950" s="55"/>
    </row>
    <row r="951">
      <c r="C951" s="24"/>
      <c r="F951" s="24"/>
      <c r="H951" s="24"/>
      <c r="I951" s="24"/>
      <c r="J951" s="24"/>
      <c r="O951" s="55"/>
    </row>
    <row r="952">
      <c r="C952" s="24"/>
      <c r="F952" s="24"/>
      <c r="H952" s="24"/>
      <c r="I952" s="24"/>
      <c r="J952" s="24"/>
      <c r="O952" s="55"/>
    </row>
    <row r="953">
      <c r="C953" s="24"/>
      <c r="F953" s="24"/>
      <c r="H953" s="24"/>
      <c r="I953" s="24"/>
      <c r="J953" s="24"/>
      <c r="O953" s="55"/>
    </row>
    <row r="954">
      <c r="C954" s="24"/>
      <c r="F954" s="24"/>
      <c r="H954" s="24"/>
      <c r="I954" s="24"/>
      <c r="J954" s="24"/>
      <c r="O954" s="55"/>
    </row>
    <row r="955">
      <c r="C955" s="24"/>
      <c r="F955" s="24"/>
      <c r="H955" s="24"/>
      <c r="I955" s="24"/>
      <c r="J955" s="24"/>
      <c r="O955" s="55"/>
    </row>
    <row r="956">
      <c r="C956" s="24"/>
      <c r="F956" s="24"/>
      <c r="H956" s="24"/>
      <c r="I956" s="24"/>
      <c r="J956" s="24"/>
      <c r="O956" s="55"/>
    </row>
    <row r="957">
      <c r="C957" s="24"/>
      <c r="F957" s="24"/>
      <c r="H957" s="24"/>
      <c r="I957" s="24"/>
      <c r="J957" s="24"/>
      <c r="O957" s="55"/>
    </row>
    <row r="958">
      <c r="C958" s="24"/>
      <c r="F958" s="24"/>
      <c r="H958" s="24"/>
      <c r="I958" s="24"/>
      <c r="J958" s="24"/>
      <c r="O958" s="55"/>
    </row>
    <row r="959">
      <c r="C959" s="24"/>
      <c r="F959" s="24"/>
      <c r="H959" s="24"/>
      <c r="I959" s="24"/>
      <c r="J959" s="24"/>
      <c r="O959" s="55"/>
    </row>
    <row r="960">
      <c r="C960" s="24"/>
      <c r="F960" s="24"/>
      <c r="H960" s="24"/>
      <c r="I960" s="24"/>
      <c r="J960" s="24"/>
      <c r="O960" s="55"/>
    </row>
    <row r="961">
      <c r="C961" s="24"/>
      <c r="F961" s="24"/>
      <c r="H961" s="24"/>
      <c r="I961" s="24"/>
      <c r="J961" s="24"/>
      <c r="O961" s="55"/>
    </row>
    <row r="962">
      <c r="C962" s="24"/>
      <c r="F962" s="24"/>
      <c r="H962" s="24"/>
      <c r="I962" s="24"/>
      <c r="J962" s="24"/>
      <c r="O962" s="55"/>
    </row>
    <row r="963">
      <c r="C963" s="24"/>
      <c r="F963" s="24"/>
      <c r="H963" s="24"/>
      <c r="I963" s="24"/>
      <c r="J963" s="24"/>
      <c r="O963" s="55"/>
    </row>
    <row r="964">
      <c r="C964" s="24"/>
      <c r="F964" s="24"/>
      <c r="H964" s="24"/>
      <c r="I964" s="24"/>
      <c r="J964" s="24"/>
      <c r="O964" s="55"/>
    </row>
    <row r="965">
      <c r="C965" s="24"/>
      <c r="F965" s="24"/>
      <c r="H965" s="24"/>
      <c r="I965" s="24"/>
      <c r="J965" s="24"/>
      <c r="O965" s="55"/>
    </row>
    <row r="966">
      <c r="C966" s="24"/>
      <c r="F966" s="24"/>
      <c r="H966" s="24"/>
      <c r="I966" s="24"/>
      <c r="J966" s="24"/>
      <c r="O966" s="55"/>
    </row>
    <row r="967">
      <c r="C967" s="24"/>
      <c r="F967" s="24"/>
      <c r="H967" s="24"/>
      <c r="I967" s="24"/>
      <c r="J967" s="24"/>
      <c r="O967" s="55"/>
    </row>
    <row r="968">
      <c r="C968" s="24"/>
      <c r="F968" s="24"/>
      <c r="H968" s="24"/>
      <c r="I968" s="24"/>
      <c r="J968" s="24"/>
      <c r="O968" s="55"/>
    </row>
    <row r="969">
      <c r="C969" s="24"/>
      <c r="F969" s="24"/>
      <c r="H969" s="24"/>
      <c r="I969" s="24"/>
      <c r="J969" s="24"/>
      <c r="O969" s="55"/>
    </row>
    <row r="970">
      <c r="C970" s="24"/>
      <c r="F970" s="24"/>
      <c r="H970" s="24"/>
      <c r="I970" s="24"/>
      <c r="J970" s="24"/>
      <c r="O970" s="55"/>
    </row>
    <row r="971">
      <c r="C971" s="24"/>
      <c r="F971" s="24"/>
      <c r="H971" s="24"/>
      <c r="I971" s="24"/>
      <c r="J971" s="24"/>
      <c r="O971" s="55"/>
    </row>
    <row r="972">
      <c r="C972" s="24"/>
      <c r="F972" s="24"/>
      <c r="H972" s="24"/>
      <c r="I972" s="24"/>
      <c r="J972" s="24"/>
      <c r="O972" s="55"/>
    </row>
    <row r="973">
      <c r="C973" s="24"/>
      <c r="F973" s="24"/>
      <c r="H973" s="24"/>
      <c r="I973" s="24"/>
      <c r="J973" s="24"/>
      <c r="O973" s="55"/>
    </row>
    <row r="974">
      <c r="C974" s="24"/>
      <c r="F974" s="24"/>
      <c r="H974" s="24"/>
      <c r="I974" s="24"/>
      <c r="J974" s="24"/>
      <c r="O974" s="55"/>
    </row>
    <row r="975">
      <c r="C975" s="24"/>
      <c r="F975" s="24"/>
      <c r="H975" s="24"/>
      <c r="I975" s="24"/>
      <c r="J975" s="24"/>
      <c r="O975" s="55"/>
    </row>
    <row r="976">
      <c r="C976" s="24"/>
      <c r="F976" s="24"/>
      <c r="H976" s="24"/>
      <c r="I976" s="24"/>
      <c r="J976" s="24"/>
      <c r="O976" s="55"/>
    </row>
    <row r="977">
      <c r="C977" s="24"/>
      <c r="F977" s="24"/>
      <c r="H977" s="24"/>
      <c r="I977" s="24"/>
      <c r="J977" s="24"/>
      <c r="O977" s="55"/>
    </row>
    <row r="978">
      <c r="C978" s="24"/>
      <c r="F978" s="24"/>
      <c r="H978" s="24"/>
      <c r="I978" s="24"/>
      <c r="J978" s="24"/>
      <c r="O978" s="55"/>
    </row>
    <row r="979">
      <c r="C979" s="24"/>
      <c r="F979" s="24"/>
      <c r="H979" s="24"/>
      <c r="I979" s="24"/>
      <c r="J979" s="24"/>
      <c r="O979" s="55"/>
    </row>
    <row r="980">
      <c r="C980" s="24"/>
      <c r="F980" s="24"/>
      <c r="H980" s="24"/>
      <c r="I980" s="24"/>
      <c r="J980" s="24"/>
      <c r="O980" s="55"/>
    </row>
    <row r="981">
      <c r="C981" s="24"/>
      <c r="F981" s="24"/>
      <c r="H981" s="24"/>
      <c r="I981" s="24"/>
      <c r="J981" s="24"/>
      <c r="O981" s="55"/>
    </row>
    <row r="982">
      <c r="C982" s="24"/>
      <c r="F982" s="24"/>
      <c r="H982" s="24"/>
      <c r="I982" s="24"/>
      <c r="J982" s="24"/>
      <c r="O982" s="55"/>
    </row>
    <row r="983">
      <c r="C983" s="24"/>
      <c r="F983" s="24"/>
      <c r="H983" s="24"/>
      <c r="I983" s="24"/>
      <c r="J983" s="24"/>
      <c r="O983" s="55"/>
    </row>
    <row r="984">
      <c r="C984" s="24"/>
      <c r="F984" s="24"/>
      <c r="H984" s="24"/>
      <c r="I984" s="24"/>
      <c r="J984" s="24"/>
      <c r="O984" s="55"/>
    </row>
    <row r="985">
      <c r="C985" s="24"/>
      <c r="F985" s="24"/>
      <c r="H985" s="24"/>
      <c r="I985" s="24"/>
      <c r="J985" s="24"/>
      <c r="O985" s="55"/>
    </row>
    <row r="986">
      <c r="C986" s="24"/>
      <c r="F986" s="24"/>
      <c r="H986" s="24"/>
      <c r="I986" s="24"/>
      <c r="J986" s="24"/>
      <c r="O986" s="55"/>
    </row>
    <row r="987">
      <c r="C987" s="24"/>
      <c r="F987" s="24"/>
      <c r="H987" s="24"/>
      <c r="I987" s="24"/>
      <c r="J987" s="24"/>
      <c r="O987" s="55"/>
    </row>
    <row r="988">
      <c r="C988" s="24"/>
      <c r="F988" s="24"/>
      <c r="H988" s="24"/>
      <c r="I988" s="24"/>
      <c r="J988" s="24"/>
      <c r="O988" s="55"/>
    </row>
    <row r="989">
      <c r="C989" s="24"/>
      <c r="F989" s="24"/>
      <c r="H989" s="24"/>
      <c r="I989" s="24"/>
      <c r="J989" s="24"/>
      <c r="O989" s="55"/>
    </row>
    <row r="990">
      <c r="C990" s="24"/>
      <c r="F990" s="24"/>
      <c r="H990" s="24"/>
      <c r="I990" s="24"/>
      <c r="J990" s="24"/>
      <c r="O990" s="55"/>
    </row>
    <row r="991">
      <c r="C991" s="24"/>
      <c r="F991" s="24"/>
      <c r="H991" s="24"/>
      <c r="I991" s="24"/>
      <c r="J991" s="24"/>
      <c r="O991" s="55"/>
    </row>
    <row r="992">
      <c r="C992" s="24"/>
      <c r="F992" s="24"/>
      <c r="H992" s="24"/>
      <c r="I992" s="24"/>
      <c r="J992" s="24"/>
      <c r="O992" s="55"/>
    </row>
    <row r="993">
      <c r="C993" s="24"/>
      <c r="F993" s="24"/>
      <c r="H993" s="24"/>
      <c r="I993" s="24"/>
      <c r="J993" s="24"/>
      <c r="O993" s="55"/>
    </row>
    <row r="994">
      <c r="C994" s="24"/>
      <c r="F994" s="24"/>
      <c r="H994" s="24"/>
      <c r="I994" s="24"/>
      <c r="J994" s="24"/>
      <c r="O994" s="55"/>
    </row>
    <row r="995">
      <c r="C995" s="24"/>
      <c r="F995" s="24"/>
      <c r="H995" s="24"/>
      <c r="I995" s="24"/>
      <c r="J995" s="24"/>
      <c r="O995" s="55"/>
    </row>
    <row r="996">
      <c r="C996" s="24"/>
      <c r="F996" s="24"/>
      <c r="H996" s="24"/>
      <c r="I996" s="24"/>
      <c r="J996" s="24"/>
      <c r="O996" s="55"/>
    </row>
    <row r="997">
      <c r="C997" s="24"/>
      <c r="F997" s="24"/>
      <c r="H997" s="24"/>
      <c r="I997" s="24"/>
      <c r="J997" s="24"/>
      <c r="O997" s="55"/>
    </row>
    <row r="998">
      <c r="C998" s="24"/>
      <c r="F998" s="24"/>
      <c r="H998" s="24"/>
      <c r="I998" s="24"/>
      <c r="J998" s="24"/>
      <c r="O998" s="55"/>
    </row>
    <row r="999">
      <c r="C999" s="24"/>
      <c r="F999" s="24"/>
      <c r="H999" s="24"/>
      <c r="I999" s="24"/>
      <c r="J999" s="24"/>
      <c r="O999" s="55"/>
    </row>
    <row r="1000">
      <c r="C1000" s="24"/>
      <c r="F1000" s="24"/>
      <c r="H1000" s="24"/>
      <c r="I1000" s="24"/>
      <c r="J1000" s="24"/>
      <c r="O1000" s="55"/>
    </row>
    <row r="1001">
      <c r="C1001" s="24"/>
      <c r="F1001" s="24"/>
      <c r="H1001" s="24"/>
      <c r="I1001" s="24"/>
      <c r="J1001" s="24"/>
      <c r="O1001" s="55"/>
    </row>
    <row r="1002">
      <c r="C1002" s="24"/>
      <c r="F1002" s="24"/>
      <c r="H1002" s="24"/>
      <c r="I1002" s="24"/>
      <c r="J1002" s="24"/>
      <c r="O1002" s="55"/>
    </row>
    <row r="1003">
      <c r="C1003" s="24"/>
      <c r="F1003" s="24"/>
      <c r="H1003" s="24"/>
      <c r="I1003" s="24"/>
      <c r="J1003" s="24"/>
      <c r="O1003" s="55"/>
    </row>
    <row r="1004">
      <c r="C1004" s="24"/>
      <c r="F1004" s="24"/>
      <c r="H1004" s="24"/>
      <c r="I1004" s="24"/>
      <c r="J1004" s="24"/>
      <c r="O1004" s="55"/>
    </row>
    <row r="1005">
      <c r="C1005" s="24"/>
      <c r="F1005" s="24"/>
      <c r="H1005" s="24"/>
      <c r="I1005" s="24"/>
      <c r="J1005" s="24"/>
      <c r="O1005" s="55"/>
    </row>
  </sheetData>
  <conditionalFormatting sqref="H1:H1005">
    <cfRule type="cellIs" dxfId="0" priority="1" operator="equal">
      <formula>"Y"</formula>
    </cfRule>
  </conditionalFormatting>
  <conditionalFormatting sqref="H1:H1005">
    <cfRule type="containsText" dxfId="1" priority="2" operator="containsText" text="N">
      <formula>NOT(ISERROR(SEARCH(("N"),(H1))))</formula>
    </cfRule>
  </conditionalFormatting>
  <dataValidations>
    <dataValidation type="list" allowBlank="1" sqref="C7:C1005 I7:I1005">
      <formula1>"P1,P2,P3,P4,P5"</formula1>
    </dataValidation>
    <dataValidation type="list" allowBlank="1" sqref="F7:F1005 J7:J1005">
      <formula1>BaseData!$A$2:$A$53</formula1>
    </dataValidation>
    <dataValidation type="list" allowBlank="1" sqref="H7:H1005">
      <formula1>"Y,N"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26.38"/>
    <col customWidth="1" min="3" max="3" width="7.25"/>
    <col customWidth="1" min="4" max="4" width="24.0"/>
    <col customWidth="1" min="5" max="5" width="9.13"/>
    <col customWidth="1" min="6" max="6" width="18.63"/>
    <col customWidth="1" min="7" max="7" width="8.75"/>
    <col customWidth="1" min="8" max="8" width="11.0"/>
    <col customWidth="1" min="9" max="9" width="9.75"/>
    <col customWidth="1" min="10" max="10" width="20.13"/>
    <col customWidth="1" min="11" max="11" width="10.88"/>
    <col customWidth="1" min="12" max="12" width="48.88"/>
    <col customWidth="1" min="13" max="13" width="17.13"/>
    <col customWidth="1" min="14" max="14" width="39.5"/>
    <col customWidth="1" min="15" max="15" width="24.88"/>
    <col customWidth="1" min="16" max="16" width="5.75"/>
    <col customWidth="1" min="17" max="17" width="23.25"/>
  </cols>
  <sheetData>
    <row r="1">
      <c r="J1" s="8"/>
      <c r="O1" s="9" t="s">
        <v>36</v>
      </c>
      <c r="P1" s="10" t="s">
        <v>37</v>
      </c>
      <c r="Q1" s="11"/>
    </row>
    <row r="2">
      <c r="A2" s="8"/>
      <c r="B2" s="8"/>
      <c r="E2" s="8"/>
      <c r="F2" s="12" t="s">
        <v>25</v>
      </c>
      <c r="G2" s="1">
        <f>countifs(A:A,"&lt;&gt;NEW",A:A,"&lt;&gt;")-1</f>
        <v>22</v>
      </c>
      <c r="I2" s="8"/>
      <c r="J2" s="8"/>
      <c r="O2" s="13" t="s">
        <v>38</v>
      </c>
      <c r="P2" s="14" t="s">
        <v>39</v>
      </c>
      <c r="Q2" s="15" t="s">
        <v>40</v>
      </c>
    </row>
    <row r="3">
      <c r="A3" s="8"/>
      <c r="B3" s="8"/>
      <c r="D3" s="16"/>
      <c r="E3" s="8"/>
      <c r="F3" s="17" t="s">
        <v>41</v>
      </c>
      <c r="G3" s="18">
        <f>countif(H:H,"=Y")</f>
        <v>22</v>
      </c>
      <c r="H3" s="8"/>
      <c r="I3" s="8"/>
      <c r="J3" s="8"/>
      <c r="O3" s="13" t="s">
        <v>42</v>
      </c>
      <c r="P3" s="14" t="s">
        <v>43</v>
      </c>
      <c r="Q3" s="15" t="s">
        <v>44</v>
      </c>
    </row>
    <row r="4">
      <c r="A4" s="8"/>
      <c r="B4" s="8"/>
      <c r="E4" s="8"/>
      <c r="F4" s="17" t="s">
        <v>45</v>
      </c>
      <c r="G4" s="18">
        <f>COUNTIF(A:A,"=NEW")</f>
        <v>0</v>
      </c>
      <c r="H4" s="8"/>
      <c r="I4" s="8"/>
      <c r="J4" s="8"/>
      <c r="O4" s="13" t="s">
        <v>46</v>
      </c>
      <c r="P4" s="14" t="s">
        <v>47</v>
      </c>
      <c r="Q4" s="15" t="s">
        <v>48</v>
      </c>
    </row>
    <row r="5">
      <c r="A5" s="8"/>
      <c r="B5" s="8"/>
      <c r="C5" s="8"/>
      <c r="D5" s="8"/>
      <c r="E5" s="8"/>
      <c r="F5" s="8"/>
      <c r="G5" s="8"/>
      <c r="H5" s="8"/>
      <c r="I5" s="8"/>
      <c r="J5" s="8"/>
      <c r="O5" s="13" t="s">
        <v>49</v>
      </c>
      <c r="P5" s="14" t="s">
        <v>50</v>
      </c>
      <c r="Q5" s="15" t="s">
        <v>51</v>
      </c>
    </row>
    <row r="6">
      <c r="A6" s="1" t="s">
        <v>52</v>
      </c>
      <c r="B6" s="1" t="s">
        <v>53</v>
      </c>
      <c r="C6" s="1" t="s">
        <v>54</v>
      </c>
      <c r="D6" s="1" t="s">
        <v>55</v>
      </c>
      <c r="E6" s="1" t="s">
        <v>56</v>
      </c>
      <c r="F6" s="1" t="s">
        <v>57</v>
      </c>
      <c r="G6" s="1" t="s">
        <v>58</v>
      </c>
      <c r="H6" s="18" t="s">
        <v>59</v>
      </c>
      <c r="I6" s="18" t="s">
        <v>60</v>
      </c>
      <c r="J6" s="18" t="s">
        <v>61</v>
      </c>
      <c r="K6" s="18" t="s">
        <v>62</v>
      </c>
      <c r="L6" s="18" t="s">
        <v>63</v>
      </c>
      <c r="M6" s="28" t="s">
        <v>164</v>
      </c>
      <c r="N6" s="28" t="s">
        <v>979</v>
      </c>
      <c r="O6" s="13" t="s">
        <v>64</v>
      </c>
      <c r="P6" s="14" t="s">
        <v>65</v>
      </c>
      <c r="Q6" s="15" t="s">
        <v>66</v>
      </c>
    </row>
    <row r="7">
      <c r="A7" s="19" t="s">
        <v>980</v>
      </c>
      <c r="B7" s="19" t="s">
        <v>981</v>
      </c>
      <c r="C7" s="19" t="s">
        <v>95</v>
      </c>
      <c r="D7" s="19" t="s">
        <v>982</v>
      </c>
      <c r="E7" s="19" t="s">
        <v>983</v>
      </c>
      <c r="F7" s="19" t="s">
        <v>856</v>
      </c>
      <c r="G7" s="37" t="s">
        <v>984</v>
      </c>
      <c r="H7" s="19" t="s">
        <v>143</v>
      </c>
      <c r="I7" s="19" t="s">
        <v>95</v>
      </c>
      <c r="J7" s="19" t="s">
        <v>856</v>
      </c>
      <c r="K7" s="25" t="str">
        <f>HYPERLINK("https://maxxton.atlassian.net/browse/QA-28906","QA-28906")</f>
        <v>QA-28906</v>
      </c>
      <c r="L7" s="19" t="s">
        <v>642</v>
      </c>
      <c r="M7" s="37" t="s">
        <v>179</v>
      </c>
      <c r="N7" s="37" t="s">
        <v>984</v>
      </c>
      <c r="O7" s="14" t="s">
        <v>80</v>
      </c>
      <c r="P7" s="20"/>
      <c r="Q7" s="20"/>
    </row>
    <row r="8">
      <c r="A8" s="19" t="s">
        <v>985</v>
      </c>
      <c r="B8" s="19" t="s">
        <v>986</v>
      </c>
      <c r="C8" s="19" t="s">
        <v>95</v>
      </c>
      <c r="D8" s="19" t="s">
        <v>982</v>
      </c>
      <c r="E8" s="19" t="s">
        <v>983</v>
      </c>
      <c r="F8" s="19" t="s">
        <v>856</v>
      </c>
      <c r="G8" s="37" t="s">
        <v>987</v>
      </c>
      <c r="H8" s="19" t="s">
        <v>143</v>
      </c>
      <c r="I8" s="19" t="s">
        <v>95</v>
      </c>
      <c r="J8" s="19" t="s">
        <v>856</v>
      </c>
      <c r="K8" s="25" t="str">
        <f>HYPERLINK("https://maxxton.atlassian.net/browse/QA-28907","QA-28907")</f>
        <v>QA-28907</v>
      </c>
      <c r="L8" s="19" t="s">
        <v>642</v>
      </c>
      <c r="M8" s="37" t="s">
        <v>179</v>
      </c>
      <c r="N8" s="37" t="s">
        <v>987</v>
      </c>
      <c r="O8" s="14" t="s">
        <v>67</v>
      </c>
      <c r="P8" s="20" t="s">
        <v>68</v>
      </c>
      <c r="Q8" s="20" t="s">
        <v>69</v>
      </c>
    </row>
    <row r="9">
      <c r="A9" s="19" t="s">
        <v>988</v>
      </c>
      <c r="B9" s="19" t="s">
        <v>989</v>
      </c>
      <c r="C9" s="19" t="s">
        <v>95</v>
      </c>
      <c r="D9" s="19" t="s">
        <v>990</v>
      </c>
      <c r="E9" s="19" t="s">
        <v>983</v>
      </c>
      <c r="F9" s="19" t="s">
        <v>856</v>
      </c>
      <c r="G9" s="37" t="s">
        <v>991</v>
      </c>
      <c r="H9" s="19" t="s">
        <v>143</v>
      </c>
      <c r="I9" s="19" t="s">
        <v>95</v>
      </c>
      <c r="J9" s="19" t="s">
        <v>856</v>
      </c>
      <c r="K9" s="25" t="str">
        <f>HYPERLINK("https://maxxton.atlassian.net/browse/QA-28908","QA-28908")</f>
        <v>QA-28908</v>
      </c>
      <c r="L9" s="19" t="s">
        <v>642</v>
      </c>
      <c r="M9" s="37" t="s">
        <v>199</v>
      </c>
      <c r="N9" s="37" t="s">
        <v>991</v>
      </c>
      <c r="O9" s="14" t="s">
        <v>73</v>
      </c>
      <c r="P9" s="20" t="s">
        <v>74</v>
      </c>
      <c r="Q9" s="20" t="s">
        <v>75</v>
      </c>
    </row>
    <row r="10">
      <c r="A10" s="19" t="s">
        <v>992</v>
      </c>
      <c r="B10" s="19" t="s">
        <v>993</v>
      </c>
      <c r="C10" s="19" t="s">
        <v>95</v>
      </c>
      <c r="D10" s="19" t="s">
        <v>994</v>
      </c>
      <c r="E10" s="19" t="s">
        <v>983</v>
      </c>
      <c r="F10" s="19" t="s">
        <v>856</v>
      </c>
      <c r="G10" s="37" t="s">
        <v>518</v>
      </c>
      <c r="H10" s="19" t="s">
        <v>143</v>
      </c>
      <c r="I10" s="19" t="s">
        <v>95</v>
      </c>
      <c r="J10" s="19" t="s">
        <v>856</v>
      </c>
      <c r="K10" s="25" t="str">
        <f>HYPERLINK("https://maxxton.atlassian.net/browse/QA-28909","QA-28909")</f>
        <v>QA-28909</v>
      </c>
      <c r="L10" s="19" t="s">
        <v>642</v>
      </c>
      <c r="M10" s="37" t="s">
        <v>199</v>
      </c>
      <c r="N10" s="37" t="s">
        <v>518</v>
      </c>
      <c r="O10" s="14" t="s">
        <v>77</v>
      </c>
      <c r="P10" s="20"/>
      <c r="Q10" s="20"/>
    </row>
    <row r="11">
      <c r="A11" s="25" t="str">
        <f>HYPERLINK("https://maxxton.atlassian.net/browse/QA-10918","QA-10918")</f>
        <v>QA-10918</v>
      </c>
      <c r="B11" s="19" t="s">
        <v>995</v>
      </c>
      <c r="C11" s="19" t="s">
        <v>95</v>
      </c>
      <c r="D11" s="35" t="s">
        <v>994</v>
      </c>
      <c r="E11" s="19" t="s">
        <v>983</v>
      </c>
      <c r="F11" s="19" t="s">
        <v>856</v>
      </c>
      <c r="G11" s="37" t="s">
        <v>996</v>
      </c>
      <c r="H11" s="19" t="s">
        <v>143</v>
      </c>
      <c r="I11" s="19" t="s">
        <v>95</v>
      </c>
      <c r="J11" s="19" t="s">
        <v>856</v>
      </c>
      <c r="K11" s="26" t="str">
        <f>HYPERLINK("https://maxxton.atlassian.net/browse/QA-28910","QA-28910")</f>
        <v>QA-28910</v>
      </c>
      <c r="L11" s="19" t="s">
        <v>642</v>
      </c>
      <c r="M11" s="37" t="s">
        <v>179</v>
      </c>
      <c r="N11" s="37" t="s">
        <v>997</v>
      </c>
      <c r="O11" s="14" t="s">
        <v>83</v>
      </c>
      <c r="P11" s="20"/>
      <c r="Q11" s="20"/>
    </row>
    <row r="12">
      <c r="A12" s="25" t="str">
        <f>HYPERLINK("https://maxxton.atlassian.net/browse/QA-11371","QA-11371")</f>
        <v>QA-11371</v>
      </c>
      <c r="B12" s="19" t="s">
        <v>998</v>
      </c>
      <c r="C12" s="19" t="s">
        <v>95</v>
      </c>
      <c r="D12" s="19" t="s">
        <v>999</v>
      </c>
      <c r="E12" s="19" t="s">
        <v>983</v>
      </c>
      <c r="F12" s="19" t="s">
        <v>856</v>
      </c>
      <c r="G12" s="37" t="s">
        <v>1000</v>
      </c>
      <c r="H12" s="19" t="s">
        <v>143</v>
      </c>
      <c r="I12" s="19" t="s">
        <v>95</v>
      </c>
      <c r="J12" s="19" t="s">
        <v>856</v>
      </c>
      <c r="K12" s="26" t="str">
        <f>HYPERLINK("https://maxxton.atlassian.net/browse/QA-28911","QA-28911")</f>
        <v>QA-28911</v>
      </c>
      <c r="L12" s="19" t="s">
        <v>642</v>
      </c>
      <c r="M12" s="37" t="s">
        <v>231</v>
      </c>
      <c r="N12" s="37" t="s">
        <v>1000</v>
      </c>
      <c r="O12" s="14" t="s">
        <v>85</v>
      </c>
      <c r="P12" s="20"/>
      <c r="Q12" s="20"/>
    </row>
    <row r="13">
      <c r="A13" s="19" t="s">
        <v>1001</v>
      </c>
      <c r="B13" s="19" t="s">
        <v>1002</v>
      </c>
      <c r="C13" s="19" t="s">
        <v>95</v>
      </c>
      <c r="D13" s="19" t="s">
        <v>1003</v>
      </c>
      <c r="E13" s="19" t="s">
        <v>983</v>
      </c>
      <c r="F13" s="19" t="s">
        <v>856</v>
      </c>
      <c r="G13" s="37" t="s">
        <v>1004</v>
      </c>
      <c r="H13" s="19" t="s">
        <v>143</v>
      </c>
      <c r="I13" s="19" t="s">
        <v>95</v>
      </c>
      <c r="J13" s="19" t="s">
        <v>856</v>
      </c>
      <c r="K13" s="26" t="str">
        <f>HYPERLINK("https://maxxton.atlassian.net/browse/QA-28912","QA-28912")</f>
        <v>QA-28912</v>
      </c>
      <c r="L13" s="19" t="s">
        <v>642</v>
      </c>
      <c r="M13" s="37" t="s">
        <v>225</v>
      </c>
      <c r="N13" s="37" t="s">
        <v>1004</v>
      </c>
      <c r="O13" s="22" t="s">
        <v>91</v>
      </c>
      <c r="P13" s="20"/>
      <c r="Q13" s="20"/>
    </row>
    <row r="14">
      <c r="A14" s="19" t="s">
        <v>1005</v>
      </c>
      <c r="B14" s="19" t="s">
        <v>1006</v>
      </c>
      <c r="C14" s="19" t="s">
        <v>95</v>
      </c>
      <c r="D14" s="19" t="s">
        <v>999</v>
      </c>
      <c r="E14" s="19" t="s">
        <v>983</v>
      </c>
      <c r="F14" s="19" t="s">
        <v>856</v>
      </c>
      <c r="G14" s="37" t="s">
        <v>225</v>
      </c>
      <c r="H14" s="19" t="s">
        <v>143</v>
      </c>
      <c r="I14" s="19" t="s">
        <v>95</v>
      </c>
      <c r="J14" s="19" t="s">
        <v>856</v>
      </c>
      <c r="K14" s="26" t="str">
        <f>HYPERLINK("https://maxxton.atlassian.net/browse/QA-28913","QA-28913")</f>
        <v>QA-28913</v>
      </c>
      <c r="L14" s="19" t="s">
        <v>642</v>
      </c>
      <c r="M14" s="37" t="s">
        <v>231</v>
      </c>
      <c r="N14" s="37" t="s">
        <v>199</v>
      </c>
      <c r="O14" s="14" t="s">
        <v>89</v>
      </c>
      <c r="P14" s="20"/>
      <c r="Q14" s="20"/>
    </row>
    <row r="15">
      <c r="A15" s="19" t="s">
        <v>1007</v>
      </c>
      <c r="B15" s="19" t="s">
        <v>1008</v>
      </c>
      <c r="C15" s="19" t="s">
        <v>95</v>
      </c>
      <c r="D15" s="19" t="s">
        <v>1003</v>
      </c>
      <c r="E15" s="19" t="s">
        <v>983</v>
      </c>
      <c r="F15" s="19" t="s">
        <v>856</v>
      </c>
      <c r="G15" s="37" t="s">
        <v>225</v>
      </c>
      <c r="H15" s="19" t="s">
        <v>143</v>
      </c>
      <c r="I15" s="19" t="s">
        <v>95</v>
      </c>
      <c r="J15" s="19" t="s">
        <v>856</v>
      </c>
      <c r="K15" s="26" t="str">
        <f>HYPERLINK("https://maxxton.atlassian.net/browse/QA-28914","QA-28914")</f>
        <v>QA-28914</v>
      </c>
      <c r="L15" s="19" t="s">
        <v>642</v>
      </c>
      <c r="M15" s="37" t="s">
        <v>225</v>
      </c>
      <c r="N15" s="37" t="s">
        <v>225</v>
      </c>
      <c r="O15" s="22"/>
      <c r="P15" s="20"/>
      <c r="Q15" s="20"/>
    </row>
    <row r="16">
      <c r="A16" s="19" t="s">
        <v>1009</v>
      </c>
      <c r="B16" s="19" t="s">
        <v>1010</v>
      </c>
      <c r="C16" s="19" t="s">
        <v>95</v>
      </c>
      <c r="D16" s="19" t="s">
        <v>1011</v>
      </c>
      <c r="E16" s="19" t="s">
        <v>983</v>
      </c>
      <c r="F16" s="19" t="s">
        <v>856</v>
      </c>
      <c r="G16" s="37" t="s">
        <v>1012</v>
      </c>
      <c r="H16" s="19" t="s">
        <v>143</v>
      </c>
      <c r="I16" s="19" t="s">
        <v>95</v>
      </c>
      <c r="J16" s="19" t="s">
        <v>856</v>
      </c>
      <c r="K16" s="25" t="str">
        <f>HYPERLINK("https://maxxton.atlassian.net/browse/QA-28915","QA-28915")</f>
        <v>QA-28915</v>
      </c>
      <c r="L16" s="19" t="s">
        <v>642</v>
      </c>
      <c r="M16" s="37" t="s">
        <v>225</v>
      </c>
      <c r="N16" s="37" t="s">
        <v>1012</v>
      </c>
      <c r="O16" s="22" t="s">
        <v>90</v>
      </c>
      <c r="P16" s="20"/>
      <c r="Q16" s="20"/>
    </row>
    <row r="17">
      <c r="A17" s="19" t="s">
        <v>1013</v>
      </c>
      <c r="B17" s="19" t="s">
        <v>1014</v>
      </c>
      <c r="C17" s="19" t="s">
        <v>95</v>
      </c>
      <c r="D17" s="19" t="s">
        <v>1015</v>
      </c>
      <c r="E17" s="19" t="s">
        <v>983</v>
      </c>
      <c r="F17" s="19" t="s">
        <v>856</v>
      </c>
      <c r="G17" s="19" t="s">
        <v>231</v>
      </c>
      <c r="H17" s="19" t="s">
        <v>143</v>
      </c>
      <c r="I17" s="19" t="s">
        <v>95</v>
      </c>
      <c r="J17" s="19" t="s">
        <v>856</v>
      </c>
      <c r="K17" s="26" t="str">
        <f>HYPERLINK("https://maxxton.atlassian.net/browse/QA-28916","QA-28916")</f>
        <v>QA-28916</v>
      </c>
      <c r="L17" s="19" t="s">
        <v>642</v>
      </c>
      <c r="M17" s="37" t="s">
        <v>231</v>
      </c>
      <c r="N17" s="37" t="s">
        <v>231</v>
      </c>
      <c r="O17" s="132"/>
      <c r="P17" s="133"/>
      <c r="Q17" s="133"/>
    </row>
    <row r="18">
      <c r="A18" s="50" t="s">
        <v>1016</v>
      </c>
      <c r="B18" s="50" t="s">
        <v>1017</v>
      </c>
      <c r="C18" s="50" t="s">
        <v>95</v>
      </c>
      <c r="D18" s="50" t="s">
        <v>994</v>
      </c>
      <c r="E18" s="50" t="s">
        <v>983</v>
      </c>
      <c r="F18" s="50" t="s">
        <v>856</v>
      </c>
      <c r="G18" s="50" t="s">
        <v>1018</v>
      </c>
      <c r="H18" s="50" t="s">
        <v>143</v>
      </c>
      <c r="I18" s="50" t="s">
        <v>95</v>
      </c>
      <c r="J18" s="50" t="s">
        <v>856</v>
      </c>
      <c r="K18" s="134" t="str">
        <f>HYPERLINK("https://maxxton.atlassian.net/browse/QA-28917","QA-28917")</f>
        <v>QA-28917</v>
      </c>
      <c r="L18" s="50" t="s">
        <v>642</v>
      </c>
      <c r="M18" s="50" t="s">
        <v>199</v>
      </c>
      <c r="N18" s="50" t="s">
        <v>1018</v>
      </c>
      <c r="O18" s="132" t="s">
        <v>70</v>
      </c>
      <c r="P18" s="133" t="s">
        <v>71</v>
      </c>
      <c r="Q18" s="133" t="s">
        <v>72</v>
      </c>
    </row>
    <row r="19">
      <c r="A19" s="50" t="s">
        <v>1019</v>
      </c>
      <c r="B19" s="50" t="s">
        <v>1020</v>
      </c>
      <c r="C19" s="50" t="s">
        <v>95</v>
      </c>
      <c r="D19" s="50" t="s">
        <v>994</v>
      </c>
      <c r="E19" s="50" t="s">
        <v>983</v>
      </c>
      <c r="F19" s="50" t="s">
        <v>856</v>
      </c>
      <c r="G19" s="50" t="s">
        <v>1018</v>
      </c>
      <c r="H19" s="50" t="s">
        <v>143</v>
      </c>
      <c r="I19" s="50" t="s">
        <v>95</v>
      </c>
      <c r="J19" s="50" t="s">
        <v>856</v>
      </c>
      <c r="K19" s="135" t="str">
        <f>HYPERLINK("https://maxxton.atlassian.net/browse/QA-28918","QA-28918")</f>
        <v>QA-28918</v>
      </c>
      <c r="L19" s="50" t="s">
        <v>642</v>
      </c>
      <c r="M19" s="50" t="s">
        <v>199</v>
      </c>
      <c r="N19" s="50" t="s">
        <v>1018</v>
      </c>
      <c r="O19" s="14" t="s">
        <v>87</v>
      </c>
      <c r="P19" s="20"/>
      <c r="Q19" s="20"/>
    </row>
    <row r="20">
      <c r="A20" s="136" t="s">
        <v>1021</v>
      </c>
      <c r="B20" s="136" t="s">
        <v>1022</v>
      </c>
      <c r="C20" s="136" t="s">
        <v>95</v>
      </c>
      <c r="D20" s="136" t="s">
        <v>1023</v>
      </c>
      <c r="E20" s="136" t="s">
        <v>983</v>
      </c>
      <c r="F20" s="136" t="s">
        <v>856</v>
      </c>
      <c r="G20" s="137" t="s">
        <v>1018</v>
      </c>
      <c r="H20" s="50" t="s">
        <v>143</v>
      </c>
      <c r="I20" s="136" t="s">
        <v>95</v>
      </c>
      <c r="J20" s="136" t="s">
        <v>856</v>
      </c>
      <c r="K20" s="138" t="str">
        <f>HYPERLINK("https://maxxton.atlassian.net/browse/QA-28919","QA-28919")</f>
        <v>QA-28919</v>
      </c>
      <c r="L20" s="137" t="s">
        <v>642</v>
      </c>
      <c r="M20" s="50" t="s">
        <v>199</v>
      </c>
      <c r="N20" s="50" t="s">
        <v>1018</v>
      </c>
    </row>
    <row r="21">
      <c r="A21" s="50" t="s">
        <v>1024</v>
      </c>
      <c r="B21" s="50" t="s">
        <v>1025</v>
      </c>
      <c r="C21" s="50" t="s">
        <v>95</v>
      </c>
      <c r="D21" s="50" t="s">
        <v>999</v>
      </c>
      <c r="E21" s="50" t="s">
        <v>983</v>
      </c>
      <c r="F21" s="50" t="s">
        <v>856</v>
      </c>
      <c r="G21" s="50" t="s">
        <v>1018</v>
      </c>
      <c r="H21" s="50" t="s">
        <v>143</v>
      </c>
      <c r="I21" s="50" t="s">
        <v>95</v>
      </c>
      <c r="J21" s="50" t="s">
        <v>856</v>
      </c>
      <c r="K21" s="134" t="str">
        <f>HYPERLINK("https://maxxton.atlassian.net/browse/QA-28920","QA-28920")</f>
        <v>QA-28920</v>
      </c>
      <c r="L21" s="50" t="s">
        <v>642</v>
      </c>
      <c r="M21" s="50" t="s">
        <v>199</v>
      </c>
      <c r="N21" s="50" t="s">
        <v>1018</v>
      </c>
      <c r="P21" s="20"/>
      <c r="Q21" s="20"/>
    </row>
    <row r="22">
      <c r="A22" s="50" t="s">
        <v>1026</v>
      </c>
      <c r="B22" s="50" t="s">
        <v>1027</v>
      </c>
      <c r="C22" s="50" t="s">
        <v>95</v>
      </c>
      <c r="D22" s="50" t="s">
        <v>1003</v>
      </c>
      <c r="E22" s="50" t="s">
        <v>983</v>
      </c>
      <c r="F22" s="50" t="s">
        <v>856</v>
      </c>
      <c r="G22" s="137" t="s">
        <v>179</v>
      </c>
      <c r="H22" s="50" t="s">
        <v>143</v>
      </c>
      <c r="I22" s="50" t="s">
        <v>95</v>
      </c>
      <c r="J22" s="50" t="s">
        <v>856</v>
      </c>
      <c r="K22" s="134" t="str">
        <f>HYPERLINK("https://maxxton.atlassian.net/browse/QA-28921","QA-28921")</f>
        <v>QA-28921</v>
      </c>
      <c r="L22" s="50" t="s">
        <v>642</v>
      </c>
      <c r="M22" s="137" t="s">
        <v>179</v>
      </c>
      <c r="N22" s="137" t="s">
        <v>1018</v>
      </c>
      <c r="O22" s="14" t="s">
        <v>78</v>
      </c>
    </row>
    <row r="23">
      <c r="A23" s="50" t="s">
        <v>1028</v>
      </c>
      <c r="B23" s="50" t="s">
        <v>1029</v>
      </c>
      <c r="C23" s="50" t="s">
        <v>95</v>
      </c>
      <c r="D23" s="50" t="s">
        <v>990</v>
      </c>
      <c r="E23" s="50" t="s">
        <v>983</v>
      </c>
      <c r="F23" s="50" t="s">
        <v>856</v>
      </c>
      <c r="G23" s="137" t="s">
        <v>179</v>
      </c>
      <c r="H23" s="50" t="s">
        <v>143</v>
      </c>
      <c r="I23" s="50" t="s">
        <v>95</v>
      </c>
      <c r="J23" s="50" t="s">
        <v>856</v>
      </c>
      <c r="K23" s="134" t="str">
        <f>HYPERLINK("https://maxxton.atlassian.net/browse/QA-28922","QA-28922")</f>
        <v>QA-28922</v>
      </c>
      <c r="L23" s="50" t="s">
        <v>642</v>
      </c>
      <c r="M23" s="137" t="s">
        <v>179</v>
      </c>
      <c r="N23" s="137" t="s">
        <v>1018</v>
      </c>
      <c r="O23" s="22"/>
      <c r="P23" s="20"/>
      <c r="Q23" s="20"/>
    </row>
    <row r="24">
      <c r="A24" s="50" t="s">
        <v>1030</v>
      </c>
      <c r="B24" s="50" t="s">
        <v>1031</v>
      </c>
      <c r="C24" s="50" t="s">
        <v>95</v>
      </c>
      <c r="D24" s="50" t="s">
        <v>994</v>
      </c>
      <c r="E24" s="50" t="s">
        <v>983</v>
      </c>
      <c r="F24" s="50" t="s">
        <v>856</v>
      </c>
      <c r="G24" s="137" t="s">
        <v>1032</v>
      </c>
      <c r="H24" s="50" t="s">
        <v>143</v>
      </c>
      <c r="I24" s="50" t="s">
        <v>95</v>
      </c>
      <c r="J24" s="50" t="s">
        <v>856</v>
      </c>
      <c r="K24" s="134" t="str">
        <f>HYPERLINK("https://maxxton.atlassian.net/browse/QA-28923","QA-28923")</f>
        <v>QA-28923</v>
      </c>
      <c r="L24" s="50" t="s">
        <v>642</v>
      </c>
      <c r="M24" s="137" t="s">
        <v>225</v>
      </c>
      <c r="N24" s="137" t="s">
        <v>1018</v>
      </c>
      <c r="O24" s="14" t="s">
        <v>88</v>
      </c>
      <c r="P24" s="20"/>
      <c r="Q24" s="20"/>
    </row>
    <row r="25">
      <c r="A25" s="50" t="s">
        <v>1033</v>
      </c>
      <c r="B25" s="50" t="s">
        <v>1034</v>
      </c>
      <c r="C25" s="50" t="s">
        <v>95</v>
      </c>
      <c r="D25" s="50" t="s">
        <v>994</v>
      </c>
      <c r="E25" s="50" t="s">
        <v>983</v>
      </c>
      <c r="F25" s="50" t="s">
        <v>856</v>
      </c>
      <c r="G25" s="137" t="s">
        <v>919</v>
      </c>
      <c r="H25" s="50" t="s">
        <v>143</v>
      </c>
      <c r="I25" s="50" t="s">
        <v>95</v>
      </c>
      <c r="J25" s="50" t="s">
        <v>856</v>
      </c>
      <c r="K25" s="135" t="str">
        <f>HYPERLINK("https://maxxton.atlassian.net/browse/QA-28924","QA-28924")</f>
        <v>QA-28924</v>
      </c>
      <c r="L25" s="50" t="s">
        <v>642</v>
      </c>
      <c r="M25" s="137" t="s">
        <v>179</v>
      </c>
      <c r="N25" s="137" t="s">
        <v>1018</v>
      </c>
      <c r="O25" s="14" t="s">
        <v>79</v>
      </c>
      <c r="P25" s="20"/>
      <c r="Q25" s="20"/>
    </row>
    <row r="26">
      <c r="A26" s="139" t="s">
        <v>1035</v>
      </c>
      <c r="B26" s="50" t="s">
        <v>1036</v>
      </c>
      <c r="C26" s="50" t="s">
        <v>95</v>
      </c>
      <c r="D26" s="50" t="s">
        <v>982</v>
      </c>
      <c r="E26" s="50" t="s">
        <v>983</v>
      </c>
      <c r="F26" s="50" t="s">
        <v>856</v>
      </c>
      <c r="G26" s="137" t="s">
        <v>241</v>
      </c>
      <c r="H26" s="50" t="s">
        <v>143</v>
      </c>
      <c r="I26" s="50" t="s">
        <v>95</v>
      </c>
      <c r="J26" s="50" t="s">
        <v>856</v>
      </c>
      <c r="K26" s="135" t="str">
        <f>HYPERLINK("https://maxxton.atlassian.net/browse/QA-28925","QA-28925")</f>
        <v>QA-28925</v>
      </c>
      <c r="L26" s="50" t="s">
        <v>642</v>
      </c>
      <c r="M26" s="137" t="s">
        <v>199</v>
      </c>
      <c r="N26" s="137" t="s">
        <v>1018</v>
      </c>
      <c r="O26" s="14" t="s">
        <v>81</v>
      </c>
      <c r="P26" s="20"/>
      <c r="Q26" s="20"/>
    </row>
    <row r="27">
      <c r="A27" s="50" t="s">
        <v>1037</v>
      </c>
      <c r="B27" s="50" t="s">
        <v>1038</v>
      </c>
      <c r="C27" s="50" t="s">
        <v>95</v>
      </c>
      <c r="D27" s="50" t="s">
        <v>982</v>
      </c>
      <c r="E27" s="50" t="s">
        <v>983</v>
      </c>
      <c r="F27" s="50" t="s">
        <v>856</v>
      </c>
      <c r="G27" s="137" t="s">
        <v>1039</v>
      </c>
      <c r="H27" s="50" t="s">
        <v>143</v>
      </c>
      <c r="I27" s="50" t="s">
        <v>95</v>
      </c>
      <c r="J27" s="50" t="s">
        <v>856</v>
      </c>
      <c r="K27" s="135" t="str">
        <f>HYPERLINK("https://maxxton.atlassian.net/browse/QA-28926","QA-28926")</f>
        <v>QA-28926</v>
      </c>
      <c r="L27" s="50" t="s">
        <v>642</v>
      </c>
      <c r="M27" s="137" t="s">
        <v>179</v>
      </c>
      <c r="N27" s="137" t="s">
        <v>1018</v>
      </c>
      <c r="O27" s="14" t="s">
        <v>82</v>
      </c>
      <c r="P27" s="20"/>
      <c r="Q27" s="20"/>
    </row>
    <row r="28">
      <c r="A28" s="50" t="s">
        <v>1040</v>
      </c>
      <c r="B28" s="50" t="s">
        <v>1041</v>
      </c>
      <c r="C28" s="50" t="s">
        <v>95</v>
      </c>
      <c r="D28" s="50" t="s">
        <v>1003</v>
      </c>
      <c r="E28" s="50" t="s">
        <v>983</v>
      </c>
      <c r="F28" s="50" t="s">
        <v>856</v>
      </c>
      <c r="G28" s="137" t="s">
        <v>1042</v>
      </c>
      <c r="H28" s="50" t="s">
        <v>143</v>
      </c>
      <c r="I28" s="50" t="s">
        <v>95</v>
      </c>
      <c r="J28" s="50" t="s">
        <v>856</v>
      </c>
      <c r="K28" s="134" t="str">
        <f>HYPERLINK("https://maxxton.atlassian.net/browse/QA-28927","QA-28927")</f>
        <v>QA-28927</v>
      </c>
      <c r="L28" s="50" t="s">
        <v>642</v>
      </c>
      <c r="M28" s="137" t="s">
        <v>231</v>
      </c>
      <c r="N28" s="137" t="s">
        <v>1018</v>
      </c>
      <c r="O28" s="14" t="s">
        <v>86</v>
      </c>
      <c r="P28" s="20"/>
      <c r="Q28" s="20"/>
    </row>
    <row r="32">
      <c r="M32" s="140" t="str">
        <f>IFERROR(__xludf.DUMMYFUNCTION("INT(SUMPRODUCT(IFERROR(VALUE(REGEXEXTRACT(M7:M26, ""(\d+)h"")), 0) + IFERROR(VALUE(REGEXEXTRACT(M7:M26, ""(\d+)m""))/60, 0))) &amp; "" h "" &amp; TEXT(MOD(SUMPRODUCT(IFERROR(VALUE(REGEXEXTRACT(M7:M26, ""(\d+)h"")), 0) + IFERROR(VALUE(REGEXEXTRACT(M7:M26, ""(\d+)m"&amp;"""))/60, 0)), 1) * 60, ""00"") &amp; "" m""
"),"34 h 00 m")</f>
        <v>34 h 00 m</v>
      </c>
      <c r="N32" s="140" t="str">
        <f>IFERROR(__xludf.DUMMYFUNCTION("INT(SUMPRODUCT(IFERROR(VALUE(REGEXEXTRACT(N7:N26, ""(\d+)h"")), 0) + IFERROR(VALUE(REGEXEXTRACT(N7:N26, ""(\d+)m""))/60, 0))) &amp; "" h "" &amp; TEXT(MOD(SUMPRODUCT(IFERROR(VALUE(REGEXEXTRACT(N7:N26, ""(\d+)h"")), 0) + IFERROR(VALUE(REGEXEXTRACT(N7:N26, ""(\d+)m"&amp;"""))/60, 0)), 1) * 60, ""00"") &amp; "" m""
"),"10 h 28 m")</f>
        <v>10 h 28 m</v>
      </c>
    </row>
    <row r="33">
      <c r="M33" s="140"/>
      <c r="N33" s="140"/>
      <c r="R33" s="123"/>
      <c r="S33" s="123"/>
      <c r="T33" s="123"/>
      <c r="U33" s="123"/>
      <c r="V33" s="123"/>
      <c r="W33" s="123"/>
      <c r="X33" s="123"/>
      <c r="Y33" s="123"/>
      <c r="Z33" s="123"/>
      <c r="AA33" s="123"/>
    </row>
    <row r="34">
      <c r="M34" s="140"/>
      <c r="N34" s="140"/>
    </row>
    <row r="35">
      <c r="A35" s="76"/>
      <c r="B35" s="76"/>
      <c r="C35" s="76"/>
      <c r="D35" s="76"/>
      <c r="E35" s="76"/>
      <c r="F35" s="76"/>
      <c r="G35" s="76"/>
      <c r="H35" s="76"/>
      <c r="I35" s="76"/>
      <c r="J35" s="76"/>
      <c r="K35" s="76"/>
      <c r="L35" s="76"/>
    </row>
    <row r="36">
      <c r="A36" s="76"/>
      <c r="B36" s="76"/>
      <c r="C36" s="76"/>
      <c r="D36" s="76"/>
      <c r="E36" s="76"/>
      <c r="F36" s="76"/>
      <c r="G36" s="76"/>
      <c r="H36" s="76"/>
      <c r="I36" s="76"/>
      <c r="J36" s="76"/>
      <c r="K36" s="76"/>
      <c r="L36" s="76"/>
    </row>
    <row r="37">
      <c r="A37" s="76"/>
      <c r="B37" s="76"/>
      <c r="C37" s="76"/>
      <c r="D37" s="76"/>
      <c r="E37" s="76"/>
      <c r="F37" s="76"/>
      <c r="G37" s="76"/>
      <c r="H37" s="76"/>
      <c r="I37" s="76"/>
      <c r="J37" s="76"/>
      <c r="K37" s="76"/>
      <c r="L37" s="76"/>
    </row>
    <row r="38">
      <c r="A38" s="76"/>
      <c r="B38" s="76"/>
      <c r="C38" s="76"/>
      <c r="D38" s="76"/>
      <c r="E38" s="76"/>
      <c r="F38" s="76"/>
      <c r="G38" s="76"/>
      <c r="H38" s="76"/>
      <c r="I38" s="76"/>
      <c r="J38" s="76"/>
      <c r="K38" s="76"/>
      <c r="L38" s="76"/>
    </row>
    <row r="39">
      <c r="A39" s="76"/>
      <c r="B39" s="76"/>
      <c r="C39" s="76"/>
      <c r="D39" s="76"/>
      <c r="E39" s="76"/>
      <c r="F39" s="76"/>
      <c r="G39" s="76"/>
      <c r="H39" s="76"/>
      <c r="I39" s="76"/>
      <c r="J39" s="76"/>
      <c r="K39" s="76"/>
      <c r="L39" s="76"/>
    </row>
    <row r="40">
      <c r="A40" s="73"/>
      <c r="B40" s="73"/>
      <c r="C40" s="73"/>
      <c r="D40" s="73"/>
      <c r="E40" s="73"/>
      <c r="F40" s="73"/>
      <c r="G40" s="73"/>
      <c r="H40" s="73"/>
      <c r="I40" s="73"/>
      <c r="J40" s="73"/>
      <c r="K40" s="73"/>
      <c r="L40" s="73"/>
    </row>
    <row r="41">
      <c r="A41" s="76"/>
      <c r="B41" s="76"/>
      <c r="C41" s="76"/>
      <c r="D41" s="76"/>
      <c r="E41" s="76"/>
      <c r="F41" s="76"/>
      <c r="G41" s="76"/>
      <c r="H41" s="76"/>
      <c r="I41" s="76"/>
      <c r="J41" s="76"/>
      <c r="K41" s="76"/>
      <c r="L41" s="76"/>
    </row>
    <row r="42">
      <c r="C42" s="24"/>
      <c r="F42" s="24"/>
      <c r="H42" s="24"/>
      <c r="I42" s="24"/>
      <c r="J42" s="24"/>
    </row>
    <row r="43">
      <c r="C43" s="24"/>
      <c r="F43" s="24"/>
      <c r="H43" s="24"/>
      <c r="I43" s="24"/>
      <c r="J43" s="24"/>
    </row>
    <row r="44">
      <c r="C44" s="24"/>
      <c r="F44" s="24"/>
      <c r="H44" s="24"/>
      <c r="I44" s="24"/>
      <c r="J44" s="24"/>
    </row>
    <row r="45">
      <c r="C45" s="24"/>
      <c r="F45" s="24"/>
      <c r="H45" s="24"/>
      <c r="I45" s="24"/>
      <c r="J45" s="24"/>
    </row>
    <row r="46">
      <c r="C46" s="24"/>
      <c r="F46" s="24"/>
      <c r="H46" s="24"/>
      <c r="I46" s="24"/>
      <c r="J46" s="24"/>
    </row>
    <row r="47">
      <c r="C47" s="24"/>
      <c r="F47" s="24"/>
      <c r="H47" s="24"/>
      <c r="I47" s="24"/>
      <c r="J47" s="24"/>
    </row>
    <row r="48">
      <c r="C48" s="24"/>
      <c r="F48" s="24"/>
      <c r="H48" s="24"/>
      <c r="I48" s="24"/>
      <c r="J48" s="24"/>
    </row>
    <row r="49">
      <c r="C49" s="24"/>
      <c r="F49" s="24"/>
      <c r="H49" s="24"/>
      <c r="I49" s="24"/>
      <c r="J49" s="24"/>
    </row>
    <row r="50">
      <c r="C50" s="24"/>
      <c r="F50" s="24"/>
      <c r="H50" s="24"/>
      <c r="I50" s="24"/>
      <c r="J50" s="24"/>
    </row>
    <row r="51">
      <c r="C51" s="24"/>
      <c r="F51" s="24"/>
      <c r="H51" s="24"/>
      <c r="I51" s="24"/>
      <c r="J51" s="24"/>
    </row>
    <row r="52">
      <c r="C52" s="24"/>
      <c r="F52" s="24"/>
      <c r="H52" s="24"/>
      <c r="I52" s="24"/>
      <c r="J52" s="24"/>
    </row>
    <row r="53">
      <c r="C53" s="24"/>
      <c r="F53" s="24"/>
      <c r="H53" s="24"/>
      <c r="I53" s="24"/>
      <c r="J53" s="24"/>
    </row>
    <row r="54">
      <c r="C54" s="24"/>
      <c r="F54" s="24"/>
      <c r="H54" s="24"/>
      <c r="I54" s="24"/>
      <c r="J54" s="24"/>
    </row>
    <row r="55">
      <c r="C55" s="24"/>
      <c r="F55" s="24"/>
      <c r="H55" s="24"/>
      <c r="I55" s="24"/>
      <c r="J55" s="24"/>
    </row>
    <row r="56">
      <c r="C56" s="24"/>
      <c r="F56" s="24"/>
      <c r="H56" s="24"/>
      <c r="I56" s="24"/>
      <c r="J56" s="24"/>
    </row>
    <row r="57">
      <c r="C57" s="24"/>
      <c r="F57" s="24"/>
      <c r="H57" s="24"/>
      <c r="I57" s="24"/>
      <c r="J57" s="24"/>
    </row>
    <row r="58">
      <c r="C58" s="24"/>
      <c r="F58" s="24"/>
      <c r="H58" s="24"/>
      <c r="I58" s="24"/>
      <c r="J58" s="24"/>
    </row>
    <row r="59">
      <c r="C59" s="24"/>
      <c r="F59" s="24"/>
      <c r="H59" s="24"/>
      <c r="I59" s="24"/>
      <c r="J59" s="24"/>
    </row>
    <row r="60">
      <c r="C60" s="24"/>
      <c r="F60" s="24"/>
      <c r="H60" s="24"/>
      <c r="I60" s="24"/>
      <c r="J60" s="24"/>
    </row>
    <row r="61">
      <c r="C61" s="24"/>
      <c r="F61" s="24"/>
      <c r="H61" s="24"/>
      <c r="I61" s="24"/>
      <c r="J61" s="24"/>
    </row>
    <row r="62">
      <c r="C62" s="24"/>
      <c r="F62" s="24"/>
      <c r="H62" s="24"/>
      <c r="I62" s="24"/>
      <c r="J62" s="24"/>
    </row>
    <row r="63">
      <c r="C63" s="24"/>
      <c r="F63" s="24"/>
      <c r="H63" s="24"/>
      <c r="I63" s="24"/>
      <c r="J63" s="24"/>
    </row>
    <row r="64">
      <c r="C64" s="24"/>
      <c r="F64" s="24"/>
      <c r="H64" s="24"/>
      <c r="I64" s="24"/>
      <c r="J64" s="24"/>
    </row>
    <row r="65">
      <c r="C65" s="24"/>
      <c r="F65" s="24"/>
      <c r="H65" s="24"/>
      <c r="I65" s="24"/>
      <c r="J65" s="24"/>
    </row>
    <row r="66">
      <c r="C66" s="24"/>
      <c r="F66" s="24"/>
      <c r="H66" s="24"/>
      <c r="I66" s="24"/>
      <c r="J66" s="24"/>
    </row>
    <row r="67">
      <c r="C67" s="24"/>
      <c r="F67" s="24"/>
      <c r="H67" s="24"/>
      <c r="I67" s="24"/>
      <c r="J67" s="24"/>
    </row>
    <row r="68">
      <c r="C68" s="24"/>
      <c r="F68" s="24"/>
      <c r="H68" s="24"/>
      <c r="I68" s="24"/>
      <c r="J68" s="24"/>
    </row>
    <row r="69">
      <c r="C69" s="24"/>
      <c r="F69" s="24"/>
      <c r="H69" s="24"/>
      <c r="I69" s="24"/>
      <c r="J69" s="24"/>
    </row>
    <row r="70">
      <c r="C70" s="24"/>
      <c r="F70" s="24"/>
      <c r="H70" s="24"/>
      <c r="I70" s="24"/>
      <c r="J70" s="24"/>
    </row>
    <row r="71">
      <c r="C71" s="24"/>
      <c r="F71" s="24"/>
      <c r="H71" s="24"/>
      <c r="I71" s="24"/>
      <c r="J71" s="24"/>
    </row>
    <row r="72">
      <c r="C72" s="24"/>
      <c r="F72" s="24"/>
      <c r="H72" s="24"/>
      <c r="I72" s="24"/>
      <c r="J72" s="24"/>
    </row>
    <row r="73">
      <c r="C73" s="24"/>
      <c r="F73" s="24"/>
      <c r="H73" s="24"/>
      <c r="I73" s="24"/>
      <c r="J73" s="24"/>
    </row>
    <row r="74">
      <c r="C74" s="24"/>
      <c r="F74" s="24"/>
      <c r="H74" s="24"/>
      <c r="I74" s="24"/>
      <c r="J74" s="24"/>
    </row>
    <row r="75">
      <c r="C75" s="24"/>
      <c r="F75" s="24"/>
      <c r="H75" s="24"/>
      <c r="I75" s="24"/>
      <c r="J75" s="24"/>
    </row>
    <row r="76">
      <c r="C76" s="24"/>
      <c r="F76" s="24"/>
      <c r="H76" s="24"/>
      <c r="I76" s="24"/>
      <c r="J76" s="24"/>
    </row>
    <row r="77">
      <c r="C77" s="24"/>
      <c r="F77" s="24"/>
      <c r="H77" s="24"/>
      <c r="I77" s="24"/>
      <c r="J77" s="24"/>
    </row>
    <row r="78">
      <c r="C78" s="24"/>
      <c r="F78" s="24"/>
      <c r="H78" s="24"/>
      <c r="I78" s="24"/>
      <c r="J78" s="24"/>
    </row>
    <row r="79">
      <c r="C79" s="24"/>
      <c r="F79" s="24"/>
      <c r="H79" s="24"/>
      <c r="I79" s="24"/>
      <c r="J79" s="24"/>
    </row>
    <row r="80">
      <c r="C80" s="24"/>
      <c r="F80" s="24"/>
      <c r="H80" s="24"/>
      <c r="I80" s="24"/>
      <c r="J80" s="24"/>
    </row>
    <row r="81">
      <c r="C81" s="24"/>
      <c r="F81" s="24"/>
      <c r="H81" s="24"/>
      <c r="I81" s="24"/>
      <c r="J81" s="24"/>
    </row>
    <row r="82">
      <c r="C82" s="24"/>
      <c r="F82" s="24"/>
      <c r="H82" s="24"/>
      <c r="I82" s="24"/>
      <c r="J82" s="24"/>
    </row>
    <row r="83">
      <c r="C83" s="24"/>
      <c r="F83" s="24"/>
      <c r="H83" s="24"/>
      <c r="I83" s="24"/>
      <c r="J83" s="24"/>
    </row>
    <row r="84">
      <c r="C84" s="24"/>
      <c r="F84" s="24"/>
      <c r="H84" s="24"/>
      <c r="I84" s="24"/>
      <c r="J84" s="24"/>
    </row>
    <row r="85">
      <c r="C85" s="24"/>
      <c r="F85" s="24"/>
      <c r="H85" s="24"/>
      <c r="I85" s="24"/>
      <c r="J85" s="24"/>
    </row>
    <row r="86">
      <c r="C86" s="24"/>
      <c r="F86" s="24"/>
      <c r="H86" s="24"/>
      <c r="I86" s="24"/>
      <c r="J86" s="24"/>
    </row>
    <row r="87">
      <c r="C87" s="24"/>
      <c r="F87" s="24"/>
      <c r="H87" s="24"/>
      <c r="I87" s="24"/>
      <c r="J87" s="24"/>
    </row>
    <row r="88">
      <c r="C88" s="24"/>
      <c r="F88" s="24"/>
      <c r="H88" s="24"/>
      <c r="I88" s="24"/>
      <c r="J88" s="24"/>
    </row>
    <row r="89">
      <c r="C89" s="24"/>
      <c r="F89" s="24"/>
      <c r="H89" s="24"/>
      <c r="I89" s="24"/>
      <c r="J89" s="24"/>
    </row>
    <row r="90">
      <c r="C90" s="24"/>
      <c r="F90" s="24"/>
      <c r="H90" s="24"/>
      <c r="I90" s="24"/>
      <c r="J90" s="24"/>
    </row>
    <row r="91">
      <c r="C91" s="24"/>
      <c r="F91" s="24"/>
      <c r="H91" s="24"/>
      <c r="I91" s="24"/>
      <c r="J91" s="24"/>
    </row>
    <row r="92">
      <c r="C92" s="24"/>
      <c r="F92" s="24"/>
      <c r="H92" s="24"/>
      <c r="I92" s="24"/>
      <c r="J92" s="24"/>
    </row>
    <row r="93">
      <c r="C93" s="24"/>
      <c r="F93" s="24"/>
      <c r="H93" s="24"/>
      <c r="I93" s="24"/>
      <c r="J93" s="24"/>
    </row>
    <row r="94">
      <c r="C94" s="24"/>
      <c r="F94" s="24"/>
      <c r="H94" s="24"/>
      <c r="I94" s="24"/>
      <c r="J94" s="24"/>
    </row>
    <row r="95">
      <c r="C95" s="24"/>
      <c r="F95" s="24"/>
      <c r="H95" s="24"/>
      <c r="I95" s="24"/>
      <c r="J95" s="24"/>
    </row>
    <row r="96">
      <c r="C96" s="24"/>
      <c r="F96" s="24"/>
      <c r="H96" s="24"/>
      <c r="I96" s="24"/>
      <c r="J96" s="24"/>
    </row>
    <row r="97">
      <c r="C97" s="24"/>
      <c r="F97" s="24"/>
      <c r="H97" s="24"/>
      <c r="I97" s="24"/>
      <c r="J97" s="24"/>
    </row>
    <row r="98">
      <c r="C98" s="24"/>
      <c r="F98" s="24"/>
      <c r="H98" s="24"/>
      <c r="I98" s="24"/>
      <c r="J98" s="24"/>
    </row>
    <row r="99">
      <c r="C99" s="24"/>
      <c r="F99" s="24"/>
      <c r="H99" s="24"/>
      <c r="I99" s="24"/>
      <c r="J99" s="24"/>
    </row>
    <row r="100">
      <c r="C100" s="24"/>
      <c r="F100" s="24"/>
      <c r="H100" s="24"/>
      <c r="I100" s="24"/>
      <c r="J100" s="24"/>
    </row>
    <row r="101">
      <c r="C101" s="24"/>
      <c r="F101" s="24"/>
      <c r="H101" s="24"/>
      <c r="I101" s="24"/>
      <c r="J101" s="24"/>
    </row>
    <row r="102">
      <c r="C102" s="24"/>
      <c r="F102" s="24"/>
      <c r="H102" s="24"/>
      <c r="I102" s="24"/>
      <c r="J102" s="24"/>
    </row>
    <row r="103">
      <c r="C103" s="24"/>
      <c r="F103" s="24"/>
      <c r="H103" s="24"/>
      <c r="I103" s="24"/>
      <c r="J103" s="24"/>
    </row>
    <row r="104">
      <c r="C104" s="24"/>
      <c r="F104" s="24"/>
      <c r="H104" s="24"/>
      <c r="I104" s="24"/>
      <c r="J104" s="24"/>
    </row>
    <row r="105">
      <c r="C105" s="24"/>
      <c r="F105" s="24"/>
      <c r="H105" s="24"/>
      <c r="I105" s="24"/>
      <c r="J105" s="24"/>
    </row>
    <row r="106">
      <c r="C106" s="24"/>
      <c r="F106" s="24"/>
      <c r="H106" s="24"/>
      <c r="I106" s="24"/>
      <c r="J106" s="24"/>
    </row>
    <row r="107">
      <c r="C107" s="24"/>
      <c r="F107" s="24"/>
      <c r="H107" s="24"/>
      <c r="I107" s="24"/>
      <c r="J107" s="24"/>
    </row>
    <row r="108">
      <c r="C108" s="24"/>
      <c r="F108" s="24"/>
      <c r="H108" s="24"/>
      <c r="I108" s="24"/>
      <c r="J108" s="24"/>
    </row>
    <row r="109">
      <c r="C109" s="24"/>
      <c r="F109" s="24"/>
      <c r="H109" s="24"/>
      <c r="I109" s="24"/>
      <c r="J109" s="24"/>
    </row>
    <row r="110">
      <c r="C110" s="24"/>
      <c r="F110" s="24"/>
      <c r="H110" s="24"/>
      <c r="I110" s="24"/>
      <c r="J110" s="24"/>
    </row>
    <row r="111">
      <c r="C111" s="24"/>
      <c r="F111" s="24"/>
      <c r="H111" s="24"/>
      <c r="I111" s="24"/>
      <c r="J111" s="24"/>
    </row>
    <row r="112">
      <c r="C112" s="24"/>
      <c r="F112" s="24"/>
      <c r="H112" s="24"/>
      <c r="I112" s="24"/>
      <c r="J112" s="24"/>
    </row>
    <row r="113">
      <c r="C113" s="24"/>
      <c r="F113" s="24"/>
      <c r="H113" s="24"/>
      <c r="I113" s="24"/>
      <c r="J113" s="24"/>
    </row>
    <row r="114">
      <c r="C114" s="24"/>
      <c r="F114" s="24"/>
      <c r="H114" s="24"/>
      <c r="I114" s="24"/>
      <c r="J114" s="24"/>
    </row>
    <row r="115">
      <c r="C115" s="24"/>
      <c r="F115" s="24"/>
      <c r="H115" s="24"/>
      <c r="I115" s="24"/>
      <c r="J115" s="24"/>
    </row>
    <row r="116">
      <c r="C116" s="24"/>
      <c r="F116" s="24"/>
      <c r="H116" s="24"/>
      <c r="I116" s="24"/>
      <c r="J116" s="24"/>
    </row>
    <row r="117">
      <c r="C117" s="24"/>
      <c r="F117" s="24"/>
      <c r="H117" s="24"/>
      <c r="I117" s="24"/>
      <c r="J117" s="24"/>
    </row>
    <row r="118">
      <c r="C118" s="24"/>
      <c r="F118" s="24"/>
      <c r="H118" s="24"/>
      <c r="I118" s="24"/>
      <c r="J118" s="24"/>
    </row>
    <row r="119">
      <c r="C119" s="24"/>
      <c r="F119" s="24"/>
      <c r="H119" s="24"/>
      <c r="I119" s="24"/>
      <c r="J119" s="24"/>
    </row>
    <row r="120">
      <c r="C120" s="24"/>
      <c r="F120" s="24"/>
      <c r="H120" s="24"/>
      <c r="I120" s="24"/>
      <c r="J120" s="24"/>
    </row>
    <row r="121">
      <c r="C121" s="24"/>
      <c r="F121" s="24"/>
      <c r="H121" s="24"/>
      <c r="I121" s="24"/>
      <c r="J121" s="24"/>
    </row>
    <row r="122">
      <c r="C122" s="24"/>
      <c r="F122" s="24"/>
      <c r="H122" s="24"/>
      <c r="I122" s="24"/>
      <c r="J122" s="24"/>
    </row>
    <row r="123">
      <c r="C123" s="24"/>
      <c r="F123" s="24"/>
      <c r="H123" s="24"/>
      <c r="I123" s="24"/>
      <c r="J123" s="24"/>
    </row>
    <row r="124">
      <c r="C124" s="24"/>
      <c r="F124" s="24"/>
      <c r="H124" s="24"/>
      <c r="I124" s="24"/>
      <c r="J124" s="24"/>
    </row>
    <row r="125">
      <c r="C125" s="24"/>
      <c r="F125" s="24"/>
      <c r="H125" s="24"/>
      <c r="I125" s="24"/>
      <c r="J125" s="24"/>
    </row>
    <row r="126">
      <c r="C126" s="24"/>
      <c r="F126" s="24"/>
      <c r="H126" s="24"/>
      <c r="I126" s="24"/>
      <c r="J126" s="24"/>
    </row>
    <row r="127">
      <c r="C127" s="24"/>
      <c r="F127" s="24"/>
      <c r="H127" s="24"/>
      <c r="I127" s="24"/>
      <c r="J127" s="24"/>
    </row>
    <row r="128">
      <c r="C128" s="24"/>
      <c r="F128" s="24"/>
      <c r="H128" s="24"/>
      <c r="I128" s="24"/>
      <c r="J128" s="24"/>
    </row>
    <row r="129">
      <c r="C129" s="24"/>
      <c r="F129" s="24"/>
      <c r="H129" s="24"/>
      <c r="I129" s="24"/>
      <c r="J129" s="24"/>
    </row>
    <row r="130">
      <c r="C130" s="24"/>
      <c r="F130" s="24"/>
      <c r="H130" s="24"/>
      <c r="I130" s="24"/>
      <c r="J130" s="24"/>
    </row>
    <row r="131">
      <c r="C131" s="24"/>
      <c r="F131" s="24"/>
      <c r="H131" s="24"/>
      <c r="I131" s="24"/>
      <c r="J131" s="24"/>
    </row>
    <row r="132">
      <c r="C132" s="24"/>
      <c r="F132" s="24"/>
      <c r="H132" s="24"/>
      <c r="I132" s="24"/>
      <c r="J132" s="24"/>
    </row>
    <row r="133">
      <c r="C133" s="24"/>
      <c r="F133" s="24"/>
      <c r="H133" s="24"/>
      <c r="I133" s="24"/>
      <c r="J133" s="24"/>
    </row>
    <row r="134">
      <c r="C134" s="24"/>
      <c r="F134" s="24"/>
      <c r="H134" s="24"/>
      <c r="I134" s="24"/>
      <c r="J134" s="24"/>
    </row>
    <row r="135">
      <c r="C135" s="24"/>
      <c r="F135" s="24"/>
      <c r="H135" s="24"/>
      <c r="I135" s="24"/>
      <c r="J135" s="24"/>
    </row>
    <row r="136">
      <c r="C136" s="24"/>
      <c r="F136" s="24"/>
      <c r="H136" s="24"/>
      <c r="I136" s="24"/>
      <c r="J136" s="24"/>
    </row>
    <row r="137">
      <c r="C137" s="24"/>
      <c r="F137" s="24"/>
      <c r="H137" s="24"/>
      <c r="I137" s="24"/>
      <c r="J137" s="24"/>
    </row>
    <row r="138">
      <c r="C138" s="24"/>
      <c r="F138" s="24"/>
      <c r="H138" s="24"/>
      <c r="I138" s="24"/>
      <c r="J138" s="24"/>
    </row>
    <row r="139">
      <c r="C139" s="24"/>
      <c r="F139" s="24"/>
      <c r="H139" s="24"/>
      <c r="I139" s="24"/>
      <c r="J139" s="24"/>
    </row>
    <row r="140">
      <c r="C140" s="24"/>
      <c r="F140" s="24"/>
      <c r="H140" s="24"/>
      <c r="I140" s="24"/>
      <c r="J140" s="24"/>
    </row>
    <row r="141">
      <c r="C141" s="24"/>
      <c r="F141" s="24"/>
      <c r="H141" s="24"/>
      <c r="I141" s="24"/>
      <c r="J141" s="24"/>
    </row>
    <row r="142">
      <c r="C142" s="24"/>
      <c r="F142" s="24"/>
      <c r="H142" s="24"/>
      <c r="I142" s="24"/>
      <c r="J142" s="24"/>
    </row>
    <row r="143">
      <c r="C143" s="24"/>
      <c r="F143" s="24"/>
      <c r="H143" s="24"/>
      <c r="I143" s="24"/>
      <c r="J143" s="24"/>
    </row>
    <row r="144">
      <c r="C144" s="24"/>
      <c r="F144" s="24"/>
      <c r="H144" s="24"/>
      <c r="I144" s="24"/>
      <c r="J144" s="24"/>
    </row>
    <row r="145">
      <c r="C145" s="24"/>
      <c r="F145" s="24"/>
      <c r="H145" s="24"/>
      <c r="I145" s="24"/>
      <c r="J145" s="24"/>
    </row>
    <row r="146">
      <c r="C146" s="24"/>
      <c r="F146" s="24"/>
      <c r="H146" s="24"/>
      <c r="I146" s="24"/>
      <c r="J146" s="24"/>
    </row>
    <row r="147">
      <c r="C147" s="24"/>
      <c r="F147" s="24"/>
      <c r="H147" s="24"/>
      <c r="I147" s="24"/>
      <c r="J147" s="24"/>
    </row>
    <row r="148">
      <c r="C148" s="24"/>
      <c r="F148" s="24"/>
      <c r="H148" s="24"/>
      <c r="I148" s="24"/>
      <c r="J148" s="24"/>
    </row>
    <row r="149">
      <c r="C149" s="24"/>
      <c r="F149" s="24"/>
      <c r="H149" s="24"/>
      <c r="I149" s="24"/>
      <c r="J149" s="24"/>
    </row>
    <row r="150">
      <c r="C150" s="24"/>
      <c r="F150" s="24"/>
      <c r="H150" s="24"/>
      <c r="I150" s="24"/>
      <c r="J150" s="24"/>
    </row>
    <row r="151">
      <c r="C151" s="24"/>
      <c r="F151" s="24"/>
      <c r="H151" s="24"/>
      <c r="I151" s="24"/>
      <c r="J151" s="24"/>
    </row>
    <row r="152">
      <c r="C152" s="24"/>
      <c r="F152" s="24"/>
      <c r="H152" s="24"/>
      <c r="I152" s="24"/>
      <c r="J152" s="24"/>
    </row>
    <row r="153">
      <c r="C153" s="24"/>
      <c r="F153" s="24"/>
      <c r="H153" s="24"/>
      <c r="I153" s="24"/>
      <c r="J153" s="24"/>
    </row>
    <row r="154">
      <c r="C154" s="24"/>
      <c r="F154" s="24"/>
      <c r="H154" s="24"/>
      <c r="I154" s="24"/>
      <c r="J154" s="24"/>
    </row>
    <row r="155">
      <c r="C155" s="24"/>
      <c r="F155" s="24"/>
      <c r="H155" s="24"/>
      <c r="I155" s="24"/>
      <c r="J155" s="24"/>
    </row>
    <row r="156">
      <c r="C156" s="24"/>
      <c r="F156" s="24"/>
      <c r="H156" s="24"/>
      <c r="I156" s="24"/>
      <c r="J156" s="24"/>
    </row>
    <row r="157">
      <c r="C157" s="24"/>
      <c r="F157" s="24"/>
      <c r="H157" s="24"/>
      <c r="I157" s="24"/>
      <c r="J157" s="24"/>
    </row>
    <row r="158">
      <c r="C158" s="24"/>
      <c r="F158" s="24"/>
      <c r="H158" s="24"/>
      <c r="I158" s="24"/>
      <c r="J158" s="24"/>
    </row>
    <row r="159">
      <c r="C159" s="24"/>
      <c r="F159" s="24"/>
      <c r="H159" s="24"/>
      <c r="I159" s="24"/>
      <c r="J159" s="24"/>
    </row>
    <row r="160">
      <c r="C160" s="24"/>
      <c r="F160" s="24"/>
      <c r="H160" s="24"/>
      <c r="I160" s="24"/>
      <c r="J160" s="24"/>
    </row>
    <row r="161">
      <c r="C161" s="24"/>
      <c r="F161" s="24"/>
      <c r="H161" s="24"/>
      <c r="I161" s="24"/>
      <c r="J161" s="24"/>
    </row>
    <row r="162">
      <c r="C162" s="24"/>
      <c r="F162" s="24"/>
      <c r="H162" s="24"/>
      <c r="I162" s="24"/>
      <c r="J162" s="24"/>
    </row>
    <row r="163">
      <c r="C163" s="24"/>
      <c r="F163" s="24"/>
      <c r="H163" s="24"/>
      <c r="I163" s="24"/>
      <c r="J163" s="24"/>
    </row>
    <row r="164">
      <c r="C164" s="24"/>
      <c r="F164" s="24"/>
      <c r="H164" s="24"/>
      <c r="I164" s="24"/>
      <c r="J164" s="24"/>
    </row>
    <row r="165">
      <c r="C165" s="24"/>
      <c r="F165" s="24"/>
      <c r="H165" s="24"/>
      <c r="I165" s="24"/>
      <c r="J165" s="24"/>
    </row>
    <row r="166">
      <c r="C166" s="24"/>
      <c r="F166" s="24"/>
      <c r="H166" s="24"/>
      <c r="I166" s="24"/>
      <c r="J166" s="24"/>
    </row>
    <row r="167">
      <c r="C167" s="24"/>
      <c r="F167" s="24"/>
      <c r="H167" s="24"/>
      <c r="I167" s="24"/>
      <c r="J167" s="24"/>
    </row>
    <row r="168">
      <c r="C168" s="24"/>
      <c r="F168" s="24"/>
      <c r="H168" s="24"/>
      <c r="I168" s="24"/>
      <c r="J168" s="24"/>
    </row>
    <row r="169">
      <c r="C169" s="24"/>
      <c r="F169" s="24"/>
      <c r="H169" s="24"/>
      <c r="I169" s="24"/>
      <c r="J169" s="24"/>
    </row>
    <row r="170">
      <c r="C170" s="24"/>
      <c r="F170" s="24"/>
      <c r="H170" s="24"/>
      <c r="I170" s="24"/>
      <c r="J170" s="24"/>
    </row>
    <row r="171">
      <c r="C171" s="24"/>
      <c r="F171" s="24"/>
      <c r="H171" s="24"/>
      <c r="I171" s="24"/>
      <c r="J171" s="24"/>
    </row>
    <row r="172">
      <c r="C172" s="24"/>
      <c r="F172" s="24"/>
      <c r="H172" s="24"/>
      <c r="I172" s="24"/>
      <c r="J172" s="24"/>
    </row>
    <row r="173">
      <c r="C173" s="24"/>
      <c r="F173" s="24"/>
      <c r="H173" s="24"/>
      <c r="I173" s="24"/>
      <c r="J173" s="24"/>
    </row>
    <row r="174">
      <c r="C174" s="24"/>
      <c r="F174" s="24"/>
      <c r="H174" s="24"/>
      <c r="I174" s="24"/>
      <c r="J174" s="24"/>
    </row>
    <row r="175">
      <c r="C175" s="24"/>
      <c r="F175" s="24"/>
      <c r="H175" s="24"/>
      <c r="I175" s="24"/>
      <c r="J175" s="24"/>
    </row>
    <row r="176">
      <c r="C176" s="24"/>
      <c r="F176" s="24"/>
      <c r="H176" s="24"/>
      <c r="I176" s="24"/>
      <c r="J176" s="24"/>
    </row>
    <row r="177">
      <c r="C177" s="24"/>
      <c r="F177" s="24"/>
      <c r="H177" s="24"/>
      <c r="I177" s="24"/>
      <c r="J177" s="24"/>
    </row>
    <row r="178">
      <c r="C178" s="24"/>
      <c r="F178" s="24"/>
      <c r="H178" s="24"/>
      <c r="I178" s="24"/>
      <c r="J178" s="24"/>
    </row>
    <row r="179">
      <c r="C179" s="24"/>
      <c r="F179" s="24"/>
      <c r="H179" s="24"/>
      <c r="I179" s="24"/>
      <c r="J179" s="24"/>
    </row>
    <row r="180">
      <c r="C180" s="24"/>
      <c r="F180" s="24"/>
      <c r="H180" s="24"/>
      <c r="I180" s="24"/>
      <c r="J180" s="24"/>
    </row>
    <row r="181">
      <c r="C181" s="24"/>
      <c r="F181" s="24"/>
      <c r="H181" s="24"/>
      <c r="I181" s="24"/>
      <c r="J181" s="24"/>
    </row>
    <row r="182">
      <c r="C182" s="24"/>
      <c r="F182" s="24"/>
      <c r="H182" s="24"/>
      <c r="I182" s="24"/>
      <c r="J182" s="24"/>
    </row>
    <row r="183">
      <c r="C183" s="24"/>
      <c r="F183" s="24"/>
      <c r="H183" s="24"/>
      <c r="I183" s="24"/>
      <c r="J183" s="24"/>
    </row>
    <row r="184">
      <c r="C184" s="24"/>
      <c r="F184" s="24"/>
      <c r="H184" s="24"/>
      <c r="I184" s="24"/>
      <c r="J184" s="24"/>
    </row>
    <row r="185">
      <c r="C185" s="24"/>
      <c r="F185" s="24"/>
      <c r="H185" s="24"/>
      <c r="I185" s="24"/>
      <c r="J185" s="24"/>
    </row>
    <row r="186">
      <c r="C186" s="24"/>
      <c r="F186" s="24"/>
      <c r="H186" s="24"/>
      <c r="I186" s="24"/>
      <c r="J186" s="24"/>
    </row>
    <row r="187">
      <c r="C187" s="24"/>
      <c r="F187" s="24"/>
      <c r="H187" s="24"/>
      <c r="I187" s="24"/>
      <c r="J187" s="24"/>
    </row>
    <row r="188">
      <c r="C188" s="24"/>
      <c r="F188" s="24"/>
      <c r="H188" s="24"/>
      <c r="I188" s="24"/>
      <c r="J188" s="24"/>
    </row>
    <row r="189">
      <c r="C189" s="24"/>
      <c r="F189" s="24"/>
      <c r="H189" s="24"/>
      <c r="I189" s="24"/>
      <c r="J189" s="24"/>
    </row>
    <row r="190">
      <c r="C190" s="24"/>
      <c r="F190" s="24"/>
      <c r="H190" s="24"/>
      <c r="I190" s="24"/>
      <c r="J190" s="24"/>
    </row>
    <row r="191">
      <c r="C191" s="24"/>
      <c r="F191" s="24"/>
      <c r="H191" s="24"/>
      <c r="I191" s="24"/>
      <c r="J191" s="24"/>
    </row>
    <row r="192">
      <c r="C192" s="24"/>
      <c r="F192" s="24"/>
      <c r="H192" s="24"/>
      <c r="I192" s="24"/>
      <c r="J192" s="24"/>
    </row>
    <row r="193">
      <c r="C193" s="24"/>
      <c r="F193" s="24"/>
      <c r="H193" s="24"/>
      <c r="I193" s="24"/>
      <c r="J193" s="24"/>
    </row>
    <row r="194">
      <c r="C194" s="24"/>
      <c r="F194" s="24"/>
      <c r="H194" s="24"/>
      <c r="I194" s="24"/>
      <c r="J194" s="24"/>
    </row>
    <row r="195">
      <c r="C195" s="24"/>
      <c r="F195" s="24"/>
      <c r="H195" s="24"/>
      <c r="I195" s="24"/>
      <c r="J195" s="24"/>
    </row>
    <row r="196">
      <c r="C196" s="24"/>
      <c r="F196" s="24"/>
      <c r="H196" s="24"/>
      <c r="I196" s="24"/>
      <c r="J196" s="24"/>
    </row>
    <row r="197">
      <c r="C197" s="24"/>
      <c r="F197" s="24"/>
      <c r="H197" s="24"/>
      <c r="I197" s="24"/>
      <c r="J197" s="24"/>
    </row>
    <row r="198">
      <c r="C198" s="24"/>
      <c r="F198" s="24"/>
      <c r="H198" s="24"/>
      <c r="I198" s="24"/>
      <c r="J198" s="24"/>
    </row>
    <row r="199">
      <c r="C199" s="24"/>
      <c r="F199" s="24"/>
      <c r="H199" s="24"/>
      <c r="I199" s="24"/>
      <c r="J199" s="24"/>
    </row>
    <row r="200">
      <c r="C200" s="24"/>
      <c r="F200" s="24"/>
      <c r="H200" s="24"/>
      <c r="I200" s="24"/>
      <c r="J200" s="24"/>
    </row>
    <row r="201">
      <c r="C201" s="24"/>
      <c r="F201" s="24"/>
      <c r="H201" s="24"/>
      <c r="I201" s="24"/>
      <c r="J201" s="24"/>
    </row>
    <row r="202">
      <c r="C202" s="24"/>
      <c r="F202" s="24"/>
      <c r="H202" s="24"/>
      <c r="I202" s="24"/>
      <c r="J202" s="24"/>
    </row>
    <row r="203">
      <c r="C203" s="24"/>
      <c r="F203" s="24"/>
      <c r="H203" s="24"/>
      <c r="I203" s="24"/>
      <c r="J203" s="24"/>
    </row>
    <row r="204">
      <c r="C204" s="24"/>
      <c r="F204" s="24"/>
      <c r="H204" s="24"/>
      <c r="I204" s="24"/>
      <c r="J204" s="24"/>
    </row>
    <row r="205">
      <c r="C205" s="24"/>
      <c r="F205" s="24"/>
      <c r="H205" s="24"/>
      <c r="I205" s="24"/>
      <c r="J205" s="24"/>
    </row>
    <row r="206">
      <c r="C206" s="24"/>
      <c r="F206" s="24"/>
      <c r="H206" s="24"/>
      <c r="I206" s="24"/>
      <c r="J206" s="24"/>
    </row>
    <row r="207">
      <c r="C207" s="24"/>
      <c r="F207" s="24"/>
      <c r="H207" s="24"/>
      <c r="I207" s="24"/>
      <c r="J207" s="24"/>
    </row>
    <row r="208">
      <c r="C208" s="24"/>
      <c r="F208" s="24"/>
      <c r="H208" s="24"/>
      <c r="I208" s="24"/>
      <c r="J208" s="24"/>
    </row>
    <row r="209">
      <c r="C209" s="24"/>
      <c r="F209" s="24"/>
      <c r="H209" s="24"/>
      <c r="I209" s="24"/>
      <c r="J209" s="24"/>
    </row>
    <row r="210">
      <c r="C210" s="24"/>
      <c r="F210" s="24"/>
      <c r="H210" s="24"/>
      <c r="I210" s="24"/>
      <c r="J210" s="24"/>
    </row>
    <row r="211">
      <c r="C211" s="24"/>
      <c r="F211" s="24"/>
      <c r="H211" s="24"/>
      <c r="I211" s="24"/>
      <c r="J211" s="24"/>
    </row>
    <row r="212">
      <c r="C212" s="24"/>
      <c r="F212" s="24"/>
      <c r="H212" s="24"/>
      <c r="I212" s="24"/>
      <c r="J212" s="24"/>
    </row>
    <row r="213">
      <c r="C213" s="24"/>
      <c r="F213" s="24"/>
      <c r="H213" s="24"/>
      <c r="I213" s="24"/>
      <c r="J213" s="24"/>
    </row>
    <row r="214">
      <c r="C214" s="24"/>
      <c r="F214" s="24"/>
      <c r="H214" s="24"/>
      <c r="I214" s="24"/>
      <c r="J214" s="24"/>
    </row>
    <row r="215">
      <c r="C215" s="24"/>
      <c r="F215" s="24"/>
      <c r="H215" s="24"/>
      <c r="I215" s="24"/>
      <c r="J215" s="24"/>
    </row>
    <row r="216">
      <c r="C216" s="24"/>
      <c r="F216" s="24"/>
      <c r="H216" s="24"/>
      <c r="I216" s="24"/>
      <c r="J216" s="24"/>
    </row>
    <row r="217">
      <c r="C217" s="24"/>
      <c r="F217" s="24"/>
      <c r="H217" s="24"/>
      <c r="I217" s="24"/>
      <c r="J217" s="24"/>
    </row>
    <row r="218">
      <c r="C218" s="24"/>
      <c r="F218" s="24"/>
      <c r="H218" s="24"/>
      <c r="I218" s="24"/>
      <c r="J218" s="24"/>
    </row>
    <row r="219">
      <c r="C219" s="24"/>
      <c r="F219" s="24"/>
      <c r="H219" s="24"/>
      <c r="I219" s="24"/>
      <c r="J219" s="24"/>
    </row>
    <row r="220">
      <c r="C220" s="24"/>
      <c r="F220" s="24"/>
      <c r="H220" s="24"/>
      <c r="I220" s="24"/>
      <c r="J220" s="24"/>
    </row>
    <row r="221">
      <c r="C221" s="24"/>
      <c r="F221" s="24"/>
      <c r="H221" s="24"/>
      <c r="I221" s="24"/>
      <c r="J221" s="24"/>
    </row>
    <row r="222">
      <c r="C222" s="24"/>
      <c r="F222" s="24"/>
      <c r="H222" s="24"/>
      <c r="I222" s="24"/>
      <c r="J222" s="24"/>
    </row>
    <row r="223">
      <c r="C223" s="24"/>
      <c r="F223" s="24"/>
      <c r="H223" s="24"/>
      <c r="I223" s="24"/>
      <c r="J223" s="24"/>
    </row>
    <row r="224">
      <c r="C224" s="24"/>
      <c r="F224" s="24"/>
      <c r="H224" s="24"/>
      <c r="I224" s="24"/>
      <c r="J224" s="24"/>
    </row>
    <row r="225">
      <c r="C225" s="24"/>
      <c r="F225" s="24"/>
      <c r="H225" s="24"/>
      <c r="I225" s="24"/>
      <c r="J225" s="24"/>
    </row>
    <row r="226">
      <c r="C226" s="24"/>
      <c r="F226" s="24"/>
      <c r="H226" s="24"/>
      <c r="I226" s="24"/>
      <c r="J226" s="24"/>
    </row>
    <row r="227">
      <c r="C227" s="24"/>
      <c r="F227" s="24"/>
      <c r="H227" s="24"/>
      <c r="I227" s="24"/>
      <c r="J227" s="24"/>
    </row>
    <row r="228">
      <c r="C228" s="24"/>
      <c r="F228" s="24"/>
      <c r="H228" s="24"/>
      <c r="I228" s="24"/>
      <c r="J228" s="24"/>
    </row>
    <row r="229">
      <c r="C229" s="24"/>
      <c r="F229" s="24"/>
      <c r="H229" s="24"/>
      <c r="I229" s="24"/>
      <c r="J229" s="24"/>
    </row>
    <row r="230">
      <c r="C230" s="24"/>
      <c r="F230" s="24"/>
      <c r="H230" s="24"/>
      <c r="I230" s="24"/>
      <c r="J230" s="24"/>
    </row>
    <row r="231">
      <c r="C231" s="24"/>
      <c r="F231" s="24"/>
      <c r="H231" s="24"/>
      <c r="I231" s="24"/>
      <c r="J231" s="24"/>
    </row>
    <row r="232">
      <c r="C232" s="24"/>
      <c r="F232" s="24"/>
      <c r="H232" s="24"/>
      <c r="I232" s="24"/>
      <c r="J232" s="24"/>
    </row>
    <row r="233">
      <c r="C233" s="24"/>
      <c r="F233" s="24"/>
      <c r="H233" s="24"/>
      <c r="I233" s="24"/>
      <c r="J233" s="24"/>
    </row>
    <row r="234">
      <c r="C234" s="24"/>
      <c r="F234" s="24"/>
      <c r="H234" s="24"/>
      <c r="I234" s="24"/>
      <c r="J234" s="24"/>
    </row>
    <row r="235">
      <c r="C235" s="24"/>
      <c r="F235" s="24"/>
      <c r="H235" s="24"/>
      <c r="I235" s="24"/>
      <c r="J235" s="24"/>
    </row>
    <row r="236">
      <c r="C236" s="24"/>
      <c r="F236" s="24"/>
      <c r="H236" s="24"/>
      <c r="I236" s="24"/>
      <c r="J236" s="24"/>
    </row>
    <row r="237">
      <c r="C237" s="24"/>
      <c r="F237" s="24"/>
      <c r="H237" s="24"/>
      <c r="I237" s="24"/>
      <c r="J237" s="24"/>
    </row>
    <row r="238">
      <c r="C238" s="24"/>
      <c r="F238" s="24"/>
      <c r="H238" s="24"/>
      <c r="I238" s="24"/>
      <c r="J238" s="24"/>
    </row>
    <row r="239">
      <c r="C239" s="24"/>
      <c r="F239" s="24"/>
      <c r="H239" s="24"/>
      <c r="I239" s="24"/>
      <c r="J239" s="24"/>
    </row>
    <row r="240">
      <c r="C240" s="24"/>
      <c r="F240" s="24"/>
      <c r="H240" s="24"/>
      <c r="I240" s="24"/>
      <c r="J240" s="24"/>
    </row>
    <row r="241">
      <c r="C241" s="24"/>
      <c r="F241" s="24"/>
      <c r="H241" s="24"/>
      <c r="I241" s="24"/>
      <c r="J241" s="24"/>
    </row>
    <row r="242">
      <c r="C242" s="24"/>
      <c r="F242" s="24"/>
      <c r="H242" s="24"/>
      <c r="I242" s="24"/>
      <c r="J242" s="24"/>
    </row>
    <row r="243">
      <c r="C243" s="24"/>
      <c r="F243" s="24"/>
      <c r="H243" s="24"/>
      <c r="I243" s="24"/>
      <c r="J243" s="24"/>
    </row>
    <row r="244">
      <c r="C244" s="24"/>
      <c r="F244" s="24"/>
      <c r="H244" s="24"/>
      <c r="I244" s="24"/>
      <c r="J244" s="24"/>
    </row>
    <row r="245">
      <c r="C245" s="24"/>
      <c r="F245" s="24"/>
      <c r="H245" s="24"/>
      <c r="I245" s="24"/>
      <c r="J245" s="24"/>
    </row>
    <row r="246">
      <c r="C246" s="24"/>
      <c r="F246" s="24"/>
      <c r="H246" s="24"/>
      <c r="I246" s="24"/>
      <c r="J246" s="24"/>
    </row>
    <row r="247">
      <c r="C247" s="24"/>
      <c r="F247" s="24"/>
      <c r="H247" s="24"/>
      <c r="I247" s="24"/>
      <c r="J247" s="24"/>
    </row>
    <row r="248">
      <c r="C248" s="24"/>
      <c r="F248" s="24"/>
      <c r="H248" s="24"/>
      <c r="I248" s="24"/>
      <c r="J248" s="24"/>
    </row>
    <row r="249">
      <c r="C249" s="24"/>
      <c r="F249" s="24"/>
      <c r="H249" s="24"/>
      <c r="I249" s="24"/>
      <c r="J249" s="24"/>
    </row>
    <row r="250">
      <c r="C250" s="24"/>
      <c r="F250" s="24"/>
      <c r="H250" s="24"/>
      <c r="I250" s="24"/>
      <c r="J250" s="24"/>
    </row>
    <row r="251">
      <c r="C251" s="24"/>
      <c r="F251" s="24"/>
      <c r="H251" s="24"/>
      <c r="I251" s="24"/>
      <c r="J251" s="24"/>
    </row>
    <row r="252">
      <c r="C252" s="24"/>
      <c r="F252" s="24"/>
      <c r="H252" s="24"/>
      <c r="I252" s="24"/>
      <c r="J252" s="24"/>
    </row>
    <row r="253">
      <c r="C253" s="24"/>
      <c r="F253" s="24"/>
      <c r="H253" s="24"/>
      <c r="I253" s="24"/>
      <c r="J253" s="24"/>
    </row>
    <row r="254">
      <c r="C254" s="24"/>
      <c r="F254" s="24"/>
      <c r="H254" s="24"/>
      <c r="I254" s="24"/>
      <c r="J254" s="24"/>
    </row>
    <row r="255">
      <c r="C255" s="24"/>
      <c r="F255" s="24"/>
      <c r="H255" s="24"/>
      <c r="I255" s="24"/>
      <c r="J255" s="24"/>
    </row>
    <row r="256">
      <c r="C256" s="24"/>
      <c r="F256" s="24"/>
      <c r="H256" s="24"/>
      <c r="I256" s="24"/>
      <c r="J256" s="24"/>
    </row>
    <row r="257">
      <c r="C257" s="24"/>
      <c r="F257" s="24"/>
      <c r="H257" s="24"/>
      <c r="I257" s="24"/>
      <c r="J257" s="24"/>
    </row>
    <row r="258">
      <c r="C258" s="24"/>
      <c r="F258" s="24"/>
      <c r="H258" s="24"/>
      <c r="I258" s="24"/>
      <c r="J258" s="24"/>
    </row>
    <row r="259">
      <c r="C259" s="24"/>
      <c r="F259" s="24"/>
      <c r="H259" s="24"/>
      <c r="I259" s="24"/>
      <c r="J259" s="24"/>
    </row>
    <row r="260">
      <c r="C260" s="24"/>
      <c r="F260" s="24"/>
      <c r="H260" s="24"/>
      <c r="I260" s="24"/>
      <c r="J260" s="24"/>
    </row>
    <row r="261">
      <c r="C261" s="24"/>
      <c r="F261" s="24"/>
      <c r="H261" s="24"/>
      <c r="I261" s="24"/>
      <c r="J261" s="24"/>
    </row>
    <row r="262">
      <c r="C262" s="24"/>
      <c r="F262" s="24"/>
      <c r="H262" s="24"/>
      <c r="I262" s="24"/>
      <c r="J262" s="24"/>
    </row>
    <row r="263">
      <c r="C263" s="24"/>
      <c r="F263" s="24"/>
      <c r="H263" s="24"/>
      <c r="I263" s="24"/>
      <c r="J263" s="24"/>
    </row>
    <row r="264">
      <c r="C264" s="24"/>
      <c r="F264" s="24"/>
      <c r="H264" s="24"/>
      <c r="I264" s="24"/>
      <c r="J264" s="24"/>
    </row>
    <row r="265">
      <c r="C265" s="24"/>
      <c r="F265" s="24"/>
      <c r="H265" s="24"/>
      <c r="I265" s="24"/>
      <c r="J265" s="24"/>
    </row>
    <row r="266">
      <c r="C266" s="24"/>
      <c r="F266" s="24"/>
      <c r="H266" s="24"/>
      <c r="I266" s="24"/>
      <c r="J266" s="24"/>
    </row>
    <row r="267">
      <c r="C267" s="24"/>
      <c r="F267" s="24"/>
      <c r="H267" s="24"/>
      <c r="I267" s="24"/>
      <c r="J267" s="24"/>
    </row>
    <row r="268">
      <c r="C268" s="24"/>
      <c r="F268" s="24"/>
      <c r="H268" s="24"/>
      <c r="I268" s="24"/>
      <c r="J268" s="24"/>
    </row>
    <row r="269">
      <c r="C269" s="24"/>
      <c r="F269" s="24"/>
      <c r="H269" s="24"/>
      <c r="I269" s="24"/>
      <c r="J269" s="24"/>
    </row>
    <row r="270">
      <c r="C270" s="24"/>
      <c r="F270" s="24"/>
      <c r="H270" s="24"/>
      <c r="I270" s="24"/>
      <c r="J270" s="24"/>
    </row>
    <row r="271">
      <c r="C271" s="24"/>
      <c r="F271" s="24"/>
      <c r="H271" s="24"/>
      <c r="I271" s="24"/>
      <c r="J271" s="24"/>
    </row>
    <row r="272">
      <c r="C272" s="24"/>
      <c r="F272" s="24"/>
      <c r="H272" s="24"/>
      <c r="I272" s="24"/>
      <c r="J272" s="24"/>
    </row>
    <row r="273">
      <c r="C273" s="24"/>
      <c r="F273" s="24"/>
      <c r="H273" s="24"/>
      <c r="I273" s="24"/>
      <c r="J273" s="24"/>
    </row>
    <row r="274">
      <c r="C274" s="24"/>
      <c r="F274" s="24"/>
      <c r="H274" s="24"/>
      <c r="I274" s="24"/>
      <c r="J274" s="24"/>
    </row>
    <row r="275">
      <c r="C275" s="24"/>
      <c r="F275" s="24"/>
      <c r="H275" s="24"/>
      <c r="I275" s="24"/>
      <c r="J275" s="24"/>
    </row>
    <row r="276">
      <c r="C276" s="24"/>
      <c r="F276" s="24"/>
      <c r="H276" s="24"/>
      <c r="I276" s="24"/>
      <c r="J276" s="24"/>
    </row>
    <row r="277">
      <c r="C277" s="24"/>
      <c r="F277" s="24"/>
      <c r="H277" s="24"/>
      <c r="I277" s="24"/>
      <c r="J277" s="24"/>
    </row>
    <row r="278">
      <c r="C278" s="24"/>
      <c r="F278" s="24"/>
      <c r="H278" s="24"/>
      <c r="I278" s="24"/>
      <c r="J278" s="24"/>
    </row>
    <row r="279">
      <c r="C279" s="24"/>
      <c r="F279" s="24"/>
      <c r="H279" s="24"/>
      <c r="I279" s="24"/>
      <c r="J279" s="24"/>
    </row>
    <row r="280">
      <c r="C280" s="24"/>
      <c r="F280" s="24"/>
      <c r="H280" s="24"/>
      <c r="I280" s="24"/>
      <c r="J280" s="24"/>
    </row>
    <row r="281">
      <c r="C281" s="24"/>
      <c r="F281" s="24"/>
      <c r="H281" s="24"/>
      <c r="I281" s="24"/>
      <c r="J281" s="24"/>
    </row>
    <row r="282">
      <c r="C282" s="24"/>
      <c r="F282" s="24"/>
      <c r="H282" s="24"/>
      <c r="I282" s="24"/>
      <c r="J282" s="24"/>
    </row>
    <row r="283">
      <c r="C283" s="24"/>
      <c r="F283" s="24"/>
      <c r="H283" s="24"/>
      <c r="I283" s="24"/>
      <c r="J283" s="24"/>
    </row>
    <row r="284">
      <c r="C284" s="24"/>
      <c r="F284" s="24"/>
      <c r="H284" s="24"/>
      <c r="I284" s="24"/>
      <c r="J284" s="24"/>
    </row>
    <row r="285">
      <c r="C285" s="24"/>
      <c r="F285" s="24"/>
      <c r="H285" s="24"/>
      <c r="I285" s="24"/>
      <c r="J285" s="24"/>
    </row>
    <row r="286">
      <c r="C286" s="24"/>
      <c r="F286" s="24"/>
      <c r="H286" s="24"/>
      <c r="I286" s="24"/>
      <c r="J286" s="24"/>
    </row>
    <row r="287">
      <c r="C287" s="24"/>
      <c r="F287" s="24"/>
      <c r="H287" s="24"/>
      <c r="I287" s="24"/>
      <c r="J287" s="24"/>
    </row>
    <row r="288">
      <c r="C288" s="24"/>
      <c r="F288" s="24"/>
      <c r="H288" s="24"/>
      <c r="I288" s="24"/>
      <c r="J288" s="24"/>
    </row>
    <row r="289">
      <c r="C289" s="24"/>
      <c r="F289" s="24"/>
      <c r="H289" s="24"/>
      <c r="I289" s="24"/>
      <c r="J289" s="24"/>
    </row>
    <row r="290">
      <c r="C290" s="24"/>
      <c r="F290" s="24"/>
      <c r="H290" s="24"/>
      <c r="I290" s="24"/>
      <c r="J290" s="24"/>
    </row>
    <row r="291">
      <c r="C291" s="24"/>
      <c r="F291" s="24"/>
      <c r="H291" s="24"/>
      <c r="I291" s="24"/>
      <c r="J291" s="24"/>
    </row>
    <row r="292">
      <c r="C292" s="24"/>
      <c r="F292" s="24"/>
      <c r="H292" s="24"/>
      <c r="I292" s="24"/>
      <c r="J292" s="24"/>
    </row>
    <row r="293">
      <c r="C293" s="24"/>
      <c r="F293" s="24"/>
      <c r="H293" s="24"/>
      <c r="I293" s="24"/>
      <c r="J293" s="24"/>
    </row>
    <row r="294">
      <c r="C294" s="24"/>
      <c r="F294" s="24"/>
      <c r="H294" s="24"/>
      <c r="I294" s="24"/>
      <c r="J294" s="24"/>
    </row>
    <row r="295">
      <c r="C295" s="24"/>
      <c r="F295" s="24"/>
      <c r="H295" s="24"/>
      <c r="I295" s="24"/>
      <c r="J295" s="24"/>
    </row>
    <row r="296">
      <c r="C296" s="24"/>
      <c r="F296" s="24"/>
      <c r="H296" s="24"/>
      <c r="I296" s="24"/>
      <c r="J296" s="24"/>
    </row>
    <row r="297">
      <c r="C297" s="24"/>
      <c r="F297" s="24"/>
      <c r="H297" s="24"/>
      <c r="I297" s="24"/>
      <c r="J297" s="24"/>
    </row>
    <row r="298">
      <c r="C298" s="24"/>
      <c r="F298" s="24"/>
      <c r="H298" s="24"/>
      <c r="I298" s="24"/>
      <c r="J298" s="24"/>
    </row>
    <row r="299">
      <c r="C299" s="24"/>
      <c r="F299" s="24"/>
      <c r="H299" s="24"/>
      <c r="I299" s="24"/>
      <c r="J299" s="24"/>
    </row>
    <row r="300">
      <c r="C300" s="24"/>
      <c r="F300" s="24"/>
      <c r="H300" s="24"/>
      <c r="I300" s="24"/>
      <c r="J300" s="24"/>
    </row>
    <row r="301">
      <c r="C301" s="24"/>
      <c r="F301" s="24"/>
      <c r="H301" s="24"/>
      <c r="I301" s="24"/>
      <c r="J301" s="24"/>
    </row>
    <row r="302">
      <c r="C302" s="24"/>
      <c r="F302" s="24"/>
      <c r="H302" s="24"/>
      <c r="I302" s="24"/>
      <c r="J302" s="24"/>
    </row>
    <row r="303">
      <c r="C303" s="24"/>
      <c r="F303" s="24"/>
      <c r="H303" s="24"/>
      <c r="I303" s="24"/>
      <c r="J303" s="24"/>
    </row>
    <row r="304">
      <c r="C304" s="24"/>
      <c r="F304" s="24"/>
      <c r="H304" s="24"/>
      <c r="I304" s="24"/>
      <c r="J304" s="24"/>
    </row>
    <row r="305">
      <c r="C305" s="24"/>
      <c r="F305" s="24"/>
      <c r="H305" s="24"/>
      <c r="I305" s="24"/>
      <c r="J305" s="24"/>
    </row>
    <row r="306">
      <c r="C306" s="24"/>
      <c r="F306" s="24"/>
      <c r="H306" s="24"/>
      <c r="I306" s="24"/>
      <c r="J306" s="24"/>
    </row>
    <row r="307">
      <c r="C307" s="24"/>
      <c r="F307" s="24"/>
      <c r="H307" s="24"/>
      <c r="I307" s="24"/>
      <c r="J307" s="24"/>
    </row>
    <row r="308">
      <c r="C308" s="24"/>
      <c r="F308" s="24"/>
      <c r="H308" s="24"/>
      <c r="I308" s="24"/>
      <c r="J308" s="24"/>
    </row>
    <row r="309">
      <c r="C309" s="24"/>
      <c r="F309" s="24"/>
      <c r="H309" s="24"/>
      <c r="I309" s="24"/>
      <c r="J309" s="24"/>
    </row>
    <row r="310">
      <c r="C310" s="24"/>
      <c r="F310" s="24"/>
      <c r="H310" s="24"/>
      <c r="I310" s="24"/>
      <c r="J310" s="24"/>
    </row>
    <row r="311">
      <c r="C311" s="24"/>
      <c r="F311" s="24"/>
      <c r="H311" s="24"/>
      <c r="I311" s="24"/>
      <c r="J311" s="24"/>
    </row>
    <row r="312">
      <c r="C312" s="24"/>
      <c r="F312" s="24"/>
      <c r="H312" s="24"/>
      <c r="I312" s="24"/>
      <c r="J312" s="24"/>
    </row>
    <row r="313">
      <c r="C313" s="24"/>
      <c r="F313" s="24"/>
      <c r="H313" s="24"/>
      <c r="I313" s="24"/>
      <c r="J313" s="24"/>
    </row>
    <row r="314">
      <c r="C314" s="24"/>
      <c r="F314" s="24"/>
      <c r="H314" s="24"/>
      <c r="I314" s="24"/>
      <c r="J314" s="24"/>
    </row>
    <row r="315">
      <c r="C315" s="24"/>
      <c r="F315" s="24"/>
      <c r="H315" s="24"/>
      <c r="I315" s="24"/>
      <c r="J315" s="24"/>
    </row>
    <row r="316">
      <c r="C316" s="24"/>
      <c r="F316" s="24"/>
      <c r="H316" s="24"/>
      <c r="I316" s="24"/>
      <c r="J316" s="24"/>
    </row>
    <row r="317">
      <c r="C317" s="24"/>
      <c r="F317" s="24"/>
      <c r="H317" s="24"/>
      <c r="I317" s="24"/>
      <c r="J317" s="24"/>
    </row>
    <row r="318">
      <c r="C318" s="24"/>
      <c r="F318" s="24"/>
      <c r="H318" s="24"/>
      <c r="I318" s="24"/>
      <c r="J318" s="24"/>
    </row>
    <row r="319">
      <c r="C319" s="24"/>
      <c r="F319" s="24"/>
      <c r="H319" s="24"/>
      <c r="I319" s="24"/>
      <c r="J319" s="24"/>
    </row>
    <row r="320">
      <c r="C320" s="24"/>
      <c r="F320" s="24"/>
      <c r="H320" s="24"/>
      <c r="I320" s="24"/>
      <c r="J320" s="24"/>
    </row>
    <row r="321">
      <c r="C321" s="24"/>
      <c r="F321" s="24"/>
      <c r="H321" s="24"/>
      <c r="I321" s="24"/>
      <c r="J321" s="24"/>
    </row>
    <row r="322">
      <c r="C322" s="24"/>
      <c r="F322" s="24"/>
      <c r="H322" s="24"/>
      <c r="I322" s="24"/>
      <c r="J322" s="24"/>
    </row>
    <row r="323">
      <c r="C323" s="24"/>
      <c r="F323" s="24"/>
      <c r="H323" s="24"/>
      <c r="I323" s="24"/>
      <c r="J323" s="24"/>
    </row>
    <row r="324">
      <c r="C324" s="24"/>
      <c r="F324" s="24"/>
      <c r="H324" s="24"/>
      <c r="I324" s="24"/>
      <c r="J324" s="24"/>
    </row>
    <row r="325">
      <c r="C325" s="24"/>
      <c r="F325" s="24"/>
      <c r="H325" s="24"/>
      <c r="I325" s="24"/>
      <c r="J325" s="24"/>
    </row>
    <row r="326">
      <c r="C326" s="24"/>
      <c r="F326" s="24"/>
      <c r="H326" s="24"/>
      <c r="I326" s="24"/>
      <c r="J326" s="24"/>
    </row>
    <row r="327">
      <c r="C327" s="24"/>
      <c r="F327" s="24"/>
      <c r="H327" s="24"/>
      <c r="I327" s="24"/>
      <c r="J327" s="24"/>
    </row>
    <row r="328">
      <c r="C328" s="24"/>
      <c r="F328" s="24"/>
      <c r="H328" s="24"/>
      <c r="I328" s="24"/>
      <c r="J328" s="24"/>
    </row>
    <row r="329">
      <c r="C329" s="24"/>
      <c r="F329" s="24"/>
      <c r="H329" s="24"/>
      <c r="I329" s="24"/>
      <c r="J329" s="24"/>
    </row>
    <row r="330">
      <c r="C330" s="24"/>
      <c r="F330" s="24"/>
      <c r="H330" s="24"/>
      <c r="I330" s="24"/>
      <c r="J330" s="24"/>
    </row>
    <row r="331">
      <c r="C331" s="24"/>
      <c r="F331" s="24"/>
      <c r="H331" s="24"/>
      <c r="I331" s="24"/>
      <c r="J331" s="24"/>
    </row>
    <row r="332">
      <c r="C332" s="24"/>
      <c r="F332" s="24"/>
      <c r="H332" s="24"/>
      <c r="I332" s="24"/>
      <c r="J332" s="24"/>
    </row>
    <row r="333">
      <c r="C333" s="24"/>
      <c r="F333" s="24"/>
      <c r="H333" s="24"/>
      <c r="I333" s="24"/>
      <c r="J333" s="24"/>
    </row>
    <row r="334">
      <c r="C334" s="24"/>
      <c r="F334" s="24"/>
      <c r="H334" s="24"/>
      <c r="I334" s="24"/>
      <c r="J334" s="24"/>
    </row>
    <row r="335">
      <c r="C335" s="24"/>
      <c r="F335" s="24"/>
      <c r="H335" s="24"/>
      <c r="I335" s="24"/>
      <c r="J335" s="24"/>
    </row>
    <row r="336">
      <c r="C336" s="24"/>
      <c r="F336" s="24"/>
      <c r="H336" s="24"/>
      <c r="I336" s="24"/>
      <c r="J336" s="24"/>
    </row>
    <row r="337">
      <c r="C337" s="24"/>
      <c r="F337" s="24"/>
      <c r="H337" s="24"/>
      <c r="I337" s="24"/>
      <c r="J337" s="24"/>
    </row>
    <row r="338">
      <c r="C338" s="24"/>
      <c r="F338" s="24"/>
      <c r="H338" s="24"/>
      <c r="I338" s="24"/>
      <c r="J338" s="24"/>
    </row>
    <row r="339">
      <c r="C339" s="24"/>
      <c r="F339" s="24"/>
      <c r="H339" s="24"/>
      <c r="I339" s="24"/>
      <c r="J339" s="24"/>
    </row>
    <row r="340">
      <c r="C340" s="24"/>
      <c r="F340" s="24"/>
      <c r="H340" s="24"/>
      <c r="I340" s="24"/>
      <c r="J340" s="24"/>
    </row>
    <row r="341">
      <c r="C341" s="24"/>
      <c r="F341" s="24"/>
      <c r="H341" s="24"/>
      <c r="I341" s="24"/>
      <c r="J341" s="24"/>
    </row>
    <row r="342">
      <c r="C342" s="24"/>
      <c r="F342" s="24"/>
      <c r="H342" s="24"/>
      <c r="I342" s="24"/>
      <c r="J342" s="24"/>
    </row>
    <row r="343">
      <c r="C343" s="24"/>
      <c r="F343" s="24"/>
      <c r="H343" s="24"/>
      <c r="I343" s="24"/>
      <c r="J343" s="24"/>
    </row>
    <row r="344">
      <c r="C344" s="24"/>
      <c r="F344" s="24"/>
      <c r="H344" s="24"/>
      <c r="I344" s="24"/>
      <c r="J344" s="24"/>
    </row>
    <row r="345">
      <c r="C345" s="24"/>
      <c r="F345" s="24"/>
      <c r="H345" s="24"/>
      <c r="I345" s="24"/>
      <c r="J345" s="24"/>
    </row>
    <row r="346">
      <c r="C346" s="24"/>
      <c r="F346" s="24"/>
      <c r="H346" s="24"/>
      <c r="I346" s="24"/>
      <c r="J346" s="24"/>
    </row>
    <row r="347">
      <c r="C347" s="24"/>
      <c r="F347" s="24"/>
      <c r="H347" s="24"/>
      <c r="I347" s="24"/>
      <c r="J347" s="24"/>
    </row>
    <row r="348">
      <c r="C348" s="24"/>
      <c r="F348" s="24"/>
      <c r="H348" s="24"/>
      <c r="I348" s="24"/>
      <c r="J348" s="24"/>
    </row>
    <row r="349">
      <c r="C349" s="24"/>
      <c r="F349" s="24"/>
      <c r="H349" s="24"/>
      <c r="I349" s="24"/>
      <c r="J349" s="24"/>
    </row>
    <row r="350">
      <c r="C350" s="24"/>
      <c r="F350" s="24"/>
      <c r="H350" s="24"/>
      <c r="I350" s="24"/>
      <c r="J350" s="24"/>
    </row>
    <row r="351">
      <c r="C351" s="24"/>
      <c r="F351" s="24"/>
      <c r="H351" s="24"/>
      <c r="I351" s="24"/>
      <c r="J351" s="24"/>
    </row>
    <row r="352">
      <c r="C352" s="24"/>
      <c r="F352" s="24"/>
      <c r="H352" s="24"/>
      <c r="I352" s="24"/>
      <c r="J352" s="24"/>
    </row>
    <row r="353">
      <c r="C353" s="24"/>
      <c r="F353" s="24"/>
      <c r="H353" s="24"/>
      <c r="I353" s="24"/>
      <c r="J353" s="24"/>
    </row>
    <row r="354">
      <c r="C354" s="24"/>
      <c r="F354" s="24"/>
      <c r="H354" s="24"/>
      <c r="I354" s="24"/>
      <c r="J354" s="24"/>
    </row>
    <row r="355">
      <c r="C355" s="24"/>
      <c r="F355" s="24"/>
      <c r="H355" s="24"/>
      <c r="I355" s="24"/>
      <c r="J355" s="24"/>
    </row>
    <row r="356">
      <c r="C356" s="24"/>
      <c r="F356" s="24"/>
      <c r="H356" s="24"/>
      <c r="I356" s="24"/>
      <c r="J356" s="24"/>
    </row>
    <row r="357">
      <c r="C357" s="24"/>
      <c r="F357" s="24"/>
      <c r="H357" s="24"/>
      <c r="I357" s="24"/>
      <c r="J357" s="24"/>
    </row>
    <row r="358">
      <c r="C358" s="24"/>
      <c r="F358" s="24"/>
      <c r="H358" s="24"/>
      <c r="I358" s="24"/>
      <c r="J358" s="24"/>
    </row>
    <row r="359">
      <c r="C359" s="24"/>
      <c r="F359" s="24"/>
      <c r="H359" s="24"/>
      <c r="I359" s="24"/>
      <c r="J359" s="24"/>
    </row>
    <row r="360">
      <c r="C360" s="24"/>
      <c r="F360" s="24"/>
      <c r="H360" s="24"/>
      <c r="I360" s="24"/>
      <c r="J360" s="24"/>
    </row>
    <row r="361">
      <c r="C361" s="24"/>
      <c r="F361" s="24"/>
      <c r="H361" s="24"/>
      <c r="I361" s="24"/>
      <c r="J361" s="24"/>
    </row>
    <row r="362">
      <c r="C362" s="24"/>
      <c r="F362" s="24"/>
      <c r="H362" s="24"/>
      <c r="I362" s="24"/>
      <c r="J362" s="24"/>
    </row>
    <row r="363">
      <c r="C363" s="24"/>
      <c r="F363" s="24"/>
      <c r="H363" s="24"/>
      <c r="I363" s="24"/>
      <c r="J363" s="24"/>
    </row>
    <row r="364">
      <c r="C364" s="24"/>
      <c r="F364" s="24"/>
      <c r="H364" s="24"/>
      <c r="I364" s="24"/>
      <c r="J364" s="24"/>
    </row>
    <row r="365">
      <c r="C365" s="24"/>
      <c r="F365" s="24"/>
      <c r="H365" s="24"/>
      <c r="I365" s="24"/>
      <c r="J365" s="24"/>
    </row>
    <row r="366">
      <c r="C366" s="24"/>
      <c r="F366" s="24"/>
      <c r="H366" s="24"/>
      <c r="I366" s="24"/>
      <c r="J366" s="24"/>
    </row>
    <row r="367">
      <c r="C367" s="24"/>
      <c r="F367" s="24"/>
      <c r="H367" s="24"/>
      <c r="I367" s="24"/>
      <c r="J367" s="24"/>
    </row>
    <row r="368">
      <c r="C368" s="24"/>
      <c r="F368" s="24"/>
      <c r="H368" s="24"/>
      <c r="I368" s="24"/>
      <c r="J368" s="24"/>
    </row>
    <row r="369">
      <c r="C369" s="24"/>
      <c r="F369" s="24"/>
      <c r="H369" s="24"/>
      <c r="I369" s="24"/>
      <c r="J369" s="24"/>
    </row>
    <row r="370">
      <c r="C370" s="24"/>
      <c r="F370" s="24"/>
      <c r="H370" s="24"/>
      <c r="I370" s="24"/>
      <c r="J370" s="24"/>
    </row>
    <row r="371">
      <c r="C371" s="24"/>
      <c r="F371" s="24"/>
      <c r="H371" s="24"/>
      <c r="I371" s="24"/>
      <c r="J371" s="24"/>
    </row>
    <row r="372">
      <c r="C372" s="24"/>
      <c r="F372" s="24"/>
      <c r="H372" s="24"/>
      <c r="I372" s="24"/>
      <c r="J372" s="24"/>
    </row>
    <row r="373">
      <c r="C373" s="24"/>
      <c r="F373" s="24"/>
      <c r="H373" s="24"/>
      <c r="I373" s="24"/>
      <c r="J373" s="24"/>
    </row>
    <row r="374">
      <c r="C374" s="24"/>
      <c r="F374" s="24"/>
      <c r="H374" s="24"/>
      <c r="I374" s="24"/>
      <c r="J374" s="24"/>
    </row>
    <row r="375">
      <c r="C375" s="24"/>
      <c r="F375" s="24"/>
      <c r="H375" s="24"/>
      <c r="I375" s="24"/>
      <c r="J375" s="24"/>
    </row>
    <row r="376">
      <c r="C376" s="24"/>
      <c r="F376" s="24"/>
      <c r="H376" s="24"/>
      <c r="I376" s="24"/>
      <c r="J376" s="24"/>
    </row>
    <row r="377">
      <c r="C377" s="24"/>
      <c r="F377" s="24"/>
      <c r="H377" s="24"/>
      <c r="I377" s="24"/>
      <c r="J377" s="24"/>
    </row>
    <row r="378">
      <c r="C378" s="24"/>
      <c r="F378" s="24"/>
      <c r="H378" s="24"/>
      <c r="I378" s="24"/>
      <c r="J378" s="24"/>
    </row>
    <row r="379">
      <c r="C379" s="24"/>
      <c r="F379" s="24"/>
      <c r="H379" s="24"/>
      <c r="I379" s="24"/>
      <c r="J379" s="24"/>
    </row>
    <row r="380">
      <c r="C380" s="24"/>
      <c r="F380" s="24"/>
      <c r="H380" s="24"/>
      <c r="I380" s="24"/>
      <c r="J380" s="24"/>
    </row>
    <row r="381">
      <c r="C381" s="24"/>
      <c r="F381" s="24"/>
      <c r="H381" s="24"/>
      <c r="I381" s="24"/>
      <c r="J381" s="24"/>
    </row>
    <row r="382">
      <c r="C382" s="24"/>
      <c r="F382" s="24"/>
      <c r="H382" s="24"/>
      <c r="I382" s="24"/>
      <c r="J382" s="24"/>
    </row>
    <row r="383">
      <c r="C383" s="24"/>
      <c r="F383" s="24"/>
      <c r="H383" s="24"/>
      <c r="I383" s="24"/>
      <c r="J383" s="24"/>
    </row>
    <row r="384">
      <c r="C384" s="24"/>
      <c r="F384" s="24"/>
      <c r="H384" s="24"/>
      <c r="I384" s="24"/>
      <c r="J384" s="24"/>
    </row>
    <row r="385">
      <c r="C385" s="24"/>
      <c r="F385" s="24"/>
      <c r="H385" s="24"/>
      <c r="I385" s="24"/>
      <c r="J385" s="24"/>
    </row>
    <row r="386">
      <c r="C386" s="24"/>
      <c r="F386" s="24"/>
      <c r="H386" s="24"/>
      <c r="I386" s="24"/>
      <c r="J386" s="24"/>
    </row>
    <row r="387">
      <c r="C387" s="24"/>
      <c r="F387" s="24"/>
      <c r="H387" s="24"/>
      <c r="I387" s="24"/>
      <c r="J387" s="24"/>
    </row>
    <row r="388">
      <c r="C388" s="24"/>
      <c r="F388" s="24"/>
      <c r="H388" s="24"/>
      <c r="I388" s="24"/>
      <c r="J388" s="24"/>
    </row>
    <row r="389">
      <c r="C389" s="24"/>
      <c r="F389" s="24"/>
      <c r="H389" s="24"/>
      <c r="I389" s="24"/>
      <c r="J389" s="24"/>
    </row>
    <row r="390">
      <c r="C390" s="24"/>
      <c r="F390" s="24"/>
      <c r="H390" s="24"/>
      <c r="I390" s="24"/>
      <c r="J390" s="24"/>
    </row>
    <row r="391">
      <c r="C391" s="24"/>
      <c r="F391" s="24"/>
      <c r="H391" s="24"/>
      <c r="I391" s="24"/>
      <c r="J391" s="24"/>
    </row>
    <row r="392">
      <c r="C392" s="24"/>
      <c r="F392" s="24"/>
      <c r="H392" s="24"/>
      <c r="I392" s="24"/>
      <c r="J392" s="24"/>
    </row>
    <row r="393">
      <c r="C393" s="24"/>
      <c r="F393" s="24"/>
      <c r="H393" s="24"/>
      <c r="I393" s="24"/>
      <c r="J393" s="24"/>
    </row>
    <row r="394">
      <c r="C394" s="24"/>
      <c r="F394" s="24"/>
      <c r="H394" s="24"/>
      <c r="I394" s="24"/>
      <c r="J394" s="24"/>
    </row>
    <row r="395">
      <c r="C395" s="24"/>
      <c r="F395" s="24"/>
      <c r="H395" s="24"/>
      <c r="I395" s="24"/>
      <c r="J395" s="24"/>
    </row>
    <row r="396">
      <c r="C396" s="24"/>
      <c r="F396" s="24"/>
      <c r="H396" s="24"/>
      <c r="I396" s="24"/>
      <c r="J396" s="24"/>
    </row>
    <row r="397">
      <c r="C397" s="24"/>
      <c r="F397" s="24"/>
      <c r="H397" s="24"/>
      <c r="I397" s="24"/>
      <c r="J397" s="24"/>
    </row>
    <row r="398">
      <c r="C398" s="24"/>
      <c r="F398" s="24"/>
      <c r="H398" s="24"/>
      <c r="I398" s="24"/>
      <c r="J398" s="24"/>
    </row>
    <row r="399">
      <c r="C399" s="24"/>
      <c r="F399" s="24"/>
      <c r="H399" s="24"/>
      <c r="I399" s="24"/>
      <c r="J399" s="24"/>
    </row>
    <row r="400">
      <c r="C400" s="24"/>
      <c r="F400" s="24"/>
      <c r="H400" s="24"/>
      <c r="I400" s="24"/>
      <c r="J400" s="24"/>
    </row>
    <row r="401">
      <c r="C401" s="24"/>
      <c r="F401" s="24"/>
      <c r="H401" s="24"/>
      <c r="I401" s="24"/>
      <c r="J401" s="24"/>
    </row>
    <row r="402">
      <c r="C402" s="24"/>
      <c r="F402" s="24"/>
      <c r="H402" s="24"/>
      <c r="I402" s="24"/>
      <c r="J402" s="24"/>
    </row>
    <row r="403">
      <c r="C403" s="24"/>
      <c r="F403" s="24"/>
      <c r="H403" s="24"/>
      <c r="I403" s="24"/>
      <c r="J403" s="24"/>
    </row>
    <row r="404">
      <c r="C404" s="24"/>
      <c r="F404" s="24"/>
      <c r="H404" s="24"/>
      <c r="I404" s="24"/>
      <c r="J404" s="24"/>
    </row>
    <row r="405">
      <c r="C405" s="24"/>
      <c r="F405" s="24"/>
      <c r="H405" s="24"/>
      <c r="I405" s="24"/>
      <c r="J405" s="24"/>
    </row>
    <row r="406">
      <c r="C406" s="24"/>
      <c r="F406" s="24"/>
      <c r="H406" s="24"/>
      <c r="I406" s="24"/>
      <c r="J406" s="24"/>
    </row>
    <row r="407">
      <c r="C407" s="24"/>
      <c r="F407" s="24"/>
      <c r="H407" s="24"/>
      <c r="I407" s="24"/>
      <c r="J407" s="24"/>
    </row>
    <row r="408">
      <c r="C408" s="24"/>
      <c r="F408" s="24"/>
      <c r="H408" s="24"/>
      <c r="I408" s="24"/>
      <c r="J408" s="24"/>
    </row>
    <row r="409">
      <c r="C409" s="24"/>
      <c r="F409" s="24"/>
      <c r="H409" s="24"/>
      <c r="I409" s="24"/>
      <c r="J409" s="24"/>
    </row>
    <row r="410">
      <c r="C410" s="24"/>
      <c r="F410" s="24"/>
      <c r="H410" s="24"/>
      <c r="I410" s="24"/>
      <c r="J410" s="24"/>
    </row>
    <row r="411">
      <c r="C411" s="24"/>
      <c r="F411" s="24"/>
      <c r="H411" s="24"/>
      <c r="I411" s="24"/>
      <c r="J411" s="24"/>
    </row>
    <row r="412">
      <c r="C412" s="24"/>
      <c r="F412" s="24"/>
      <c r="H412" s="24"/>
      <c r="I412" s="24"/>
      <c r="J412" s="24"/>
    </row>
    <row r="413">
      <c r="C413" s="24"/>
      <c r="F413" s="24"/>
      <c r="H413" s="24"/>
      <c r="I413" s="24"/>
      <c r="J413" s="24"/>
    </row>
    <row r="414">
      <c r="C414" s="24"/>
      <c r="F414" s="24"/>
      <c r="H414" s="24"/>
      <c r="I414" s="24"/>
      <c r="J414" s="24"/>
    </row>
    <row r="415">
      <c r="C415" s="24"/>
      <c r="F415" s="24"/>
      <c r="H415" s="24"/>
      <c r="I415" s="24"/>
      <c r="J415" s="24"/>
    </row>
    <row r="416">
      <c r="C416" s="24"/>
      <c r="F416" s="24"/>
      <c r="H416" s="24"/>
      <c r="I416" s="24"/>
      <c r="J416" s="24"/>
    </row>
    <row r="417">
      <c r="C417" s="24"/>
      <c r="F417" s="24"/>
      <c r="H417" s="24"/>
      <c r="I417" s="24"/>
      <c r="J417" s="24"/>
    </row>
    <row r="418">
      <c r="C418" s="24"/>
      <c r="F418" s="24"/>
      <c r="H418" s="24"/>
      <c r="I418" s="24"/>
      <c r="J418" s="24"/>
    </row>
    <row r="419">
      <c r="C419" s="24"/>
      <c r="F419" s="24"/>
      <c r="H419" s="24"/>
      <c r="I419" s="24"/>
      <c r="J419" s="24"/>
    </row>
    <row r="420">
      <c r="C420" s="24"/>
      <c r="F420" s="24"/>
      <c r="H420" s="24"/>
      <c r="I420" s="24"/>
      <c r="J420" s="24"/>
    </row>
    <row r="421">
      <c r="C421" s="24"/>
      <c r="F421" s="24"/>
      <c r="H421" s="24"/>
      <c r="I421" s="24"/>
      <c r="J421" s="24"/>
    </row>
    <row r="422">
      <c r="C422" s="24"/>
      <c r="F422" s="24"/>
      <c r="H422" s="24"/>
      <c r="I422" s="24"/>
      <c r="J422" s="24"/>
    </row>
    <row r="423">
      <c r="C423" s="24"/>
      <c r="F423" s="24"/>
      <c r="H423" s="24"/>
      <c r="I423" s="24"/>
      <c r="J423" s="24"/>
    </row>
    <row r="424">
      <c r="C424" s="24"/>
      <c r="F424" s="24"/>
      <c r="H424" s="24"/>
      <c r="I424" s="24"/>
      <c r="J424" s="24"/>
    </row>
    <row r="425">
      <c r="C425" s="24"/>
      <c r="F425" s="24"/>
      <c r="H425" s="24"/>
      <c r="I425" s="24"/>
      <c r="J425" s="24"/>
    </row>
    <row r="426">
      <c r="C426" s="24"/>
      <c r="F426" s="24"/>
      <c r="H426" s="24"/>
      <c r="I426" s="24"/>
      <c r="J426" s="24"/>
    </row>
    <row r="427">
      <c r="C427" s="24"/>
      <c r="F427" s="24"/>
      <c r="H427" s="24"/>
      <c r="I427" s="24"/>
      <c r="J427" s="24"/>
    </row>
    <row r="428">
      <c r="C428" s="24"/>
      <c r="F428" s="24"/>
      <c r="H428" s="24"/>
      <c r="I428" s="24"/>
      <c r="J428" s="24"/>
    </row>
    <row r="429">
      <c r="C429" s="24"/>
      <c r="F429" s="24"/>
      <c r="H429" s="24"/>
      <c r="I429" s="24"/>
      <c r="J429" s="24"/>
    </row>
    <row r="430">
      <c r="C430" s="24"/>
      <c r="F430" s="24"/>
      <c r="H430" s="24"/>
      <c r="I430" s="24"/>
      <c r="J430" s="24"/>
    </row>
    <row r="431">
      <c r="C431" s="24"/>
      <c r="F431" s="24"/>
      <c r="H431" s="24"/>
      <c r="I431" s="24"/>
      <c r="J431" s="24"/>
    </row>
    <row r="432">
      <c r="C432" s="24"/>
      <c r="F432" s="24"/>
      <c r="H432" s="24"/>
      <c r="I432" s="24"/>
      <c r="J432" s="24"/>
    </row>
    <row r="433">
      <c r="C433" s="24"/>
      <c r="F433" s="24"/>
      <c r="H433" s="24"/>
      <c r="I433" s="24"/>
      <c r="J433" s="24"/>
    </row>
    <row r="434">
      <c r="C434" s="24"/>
      <c r="F434" s="24"/>
      <c r="H434" s="24"/>
      <c r="I434" s="24"/>
      <c r="J434" s="24"/>
    </row>
    <row r="435">
      <c r="C435" s="24"/>
      <c r="F435" s="24"/>
      <c r="H435" s="24"/>
      <c r="I435" s="24"/>
      <c r="J435" s="24"/>
    </row>
    <row r="436">
      <c r="C436" s="24"/>
      <c r="F436" s="24"/>
      <c r="H436" s="24"/>
      <c r="I436" s="24"/>
      <c r="J436" s="24"/>
    </row>
    <row r="437">
      <c r="C437" s="24"/>
      <c r="F437" s="24"/>
      <c r="H437" s="24"/>
      <c r="I437" s="24"/>
      <c r="J437" s="24"/>
    </row>
    <row r="438">
      <c r="C438" s="24"/>
      <c r="F438" s="24"/>
      <c r="H438" s="24"/>
      <c r="I438" s="24"/>
      <c r="J438" s="24"/>
    </row>
    <row r="439">
      <c r="C439" s="24"/>
      <c r="F439" s="24"/>
      <c r="H439" s="24"/>
      <c r="I439" s="24"/>
      <c r="J439" s="24"/>
    </row>
    <row r="440">
      <c r="C440" s="24"/>
      <c r="F440" s="24"/>
      <c r="H440" s="24"/>
      <c r="I440" s="24"/>
      <c r="J440" s="24"/>
    </row>
    <row r="441">
      <c r="C441" s="24"/>
      <c r="F441" s="24"/>
      <c r="H441" s="24"/>
      <c r="I441" s="24"/>
      <c r="J441" s="24"/>
    </row>
    <row r="442">
      <c r="C442" s="24"/>
      <c r="F442" s="24"/>
      <c r="H442" s="24"/>
      <c r="I442" s="24"/>
      <c r="J442" s="24"/>
    </row>
    <row r="443">
      <c r="C443" s="24"/>
      <c r="F443" s="24"/>
      <c r="H443" s="24"/>
      <c r="I443" s="24"/>
      <c r="J443" s="24"/>
    </row>
    <row r="444">
      <c r="C444" s="24"/>
      <c r="F444" s="24"/>
      <c r="H444" s="24"/>
      <c r="I444" s="24"/>
      <c r="J444" s="24"/>
    </row>
    <row r="445">
      <c r="C445" s="24"/>
      <c r="F445" s="24"/>
      <c r="H445" s="24"/>
      <c r="I445" s="24"/>
      <c r="J445" s="24"/>
    </row>
    <row r="446">
      <c r="C446" s="24"/>
      <c r="F446" s="24"/>
      <c r="H446" s="24"/>
      <c r="I446" s="24"/>
      <c r="J446" s="24"/>
    </row>
    <row r="447">
      <c r="C447" s="24"/>
      <c r="F447" s="24"/>
      <c r="H447" s="24"/>
      <c r="I447" s="24"/>
      <c r="J447" s="24"/>
    </row>
    <row r="448">
      <c r="C448" s="24"/>
      <c r="F448" s="24"/>
      <c r="H448" s="24"/>
      <c r="I448" s="24"/>
      <c r="J448" s="24"/>
    </row>
    <row r="449">
      <c r="C449" s="24"/>
      <c r="F449" s="24"/>
      <c r="H449" s="24"/>
      <c r="I449" s="24"/>
      <c r="J449" s="24"/>
    </row>
    <row r="450">
      <c r="C450" s="24"/>
      <c r="F450" s="24"/>
      <c r="H450" s="24"/>
      <c r="I450" s="24"/>
      <c r="J450" s="24"/>
    </row>
    <row r="451">
      <c r="C451" s="24"/>
      <c r="F451" s="24"/>
      <c r="H451" s="24"/>
      <c r="I451" s="24"/>
      <c r="J451" s="24"/>
    </row>
    <row r="452">
      <c r="C452" s="24"/>
      <c r="F452" s="24"/>
      <c r="H452" s="24"/>
      <c r="I452" s="24"/>
      <c r="J452" s="24"/>
    </row>
    <row r="453">
      <c r="C453" s="24"/>
      <c r="F453" s="24"/>
      <c r="H453" s="24"/>
      <c r="I453" s="24"/>
      <c r="J453" s="24"/>
    </row>
    <row r="454">
      <c r="C454" s="24"/>
      <c r="F454" s="24"/>
      <c r="H454" s="24"/>
      <c r="I454" s="24"/>
      <c r="J454" s="24"/>
    </row>
    <row r="455">
      <c r="C455" s="24"/>
      <c r="F455" s="24"/>
      <c r="H455" s="24"/>
      <c r="I455" s="24"/>
      <c r="J455" s="24"/>
    </row>
    <row r="456">
      <c r="C456" s="24"/>
      <c r="F456" s="24"/>
      <c r="H456" s="24"/>
      <c r="I456" s="24"/>
      <c r="J456" s="24"/>
    </row>
    <row r="457">
      <c r="C457" s="24"/>
      <c r="F457" s="24"/>
      <c r="H457" s="24"/>
      <c r="I457" s="24"/>
      <c r="J457" s="24"/>
    </row>
    <row r="458">
      <c r="C458" s="24"/>
      <c r="F458" s="24"/>
      <c r="H458" s="24"/>
      <c r="I458" s="24"/>
      <c r="J458" s="24"/>
    </row>
    <row r="459">
      <c r="C459" s="24"/>
      <c r="F459" s="24"/>
      <c r="H459" s="24"/>
      <c r="I459" s="24"/>
      <c r="J459" s="24"/>
    </row>
    <row r="460">
      <c r="C460" s="24"/>
      <c r="F460" s="24"/>
      <c r="H460" s="24"/>
      <c r="I460" s="24"/>
      <c r="J460" s="24"/>
    </row>
    <row r="461">
      <c r="C461" s="24"/>
      <c r="F461" s="24"/>
      <c r="H461" s="24"/>
      <c r="I461" s="24"/>
      <c r="J461" s="24"/>
    </row>
    <row r="462">
      <c r="C462" s="24"/>
      <c r="F462" s="24"/>
      <c r="H462" s="24"/>
      <c r="I462" s="24"/>
      <c r="J462" s="24"/>
    </row>
    <row r="463">
      <c r="C463" s="24"/>
      <c r="F463" s="24"/>
      <c r="H463" s="24"/>
      <c r="I463" s="24"/>
      <c r="J463" s="24"/>
    </row>
    <row r="464">
      <c r="C464" s="24"/>
      <c r="F464" s="24"/>
      <c r="H464" s="24"/>
      <c r="I464" s="24"/>
      <c r="J464" s="24"/>
    </row>
    <row r="465">
      <c r="C465" s="24"/>
      <c r="F465" s="24"/>
      <c r="H465" s="24"/>
      <c r="I465" s="24"/>
      <c r="J465" s="24"/>
    </row>
    <row r="466">
      <c r="C466" s="24"/>
      <c r="F466" s="24"/>
      <c r="H466" s="24"/>
      <c r="I466" s="24"/>
      <c r="J466" s="24"/>
    </row>
    <row r="467">
      <c r="C467" s="24"/>
      <c r="F467" s="24"/>
      <c r="H467" s="24"/>
      <c r="I467" s="24"/>
      <c r="J467" s="24"/>
    </row>
    <row r="468">
      <c r="C468" s="24"/>
      <c r="F468" s="24"/>
      <c r="H468" s="24"/>
      <c r="I468" s="24"/>
      <c r="J468" s="24"/>
    </row>
    <row r="469">
      <c r="C469" s="24"/>
      <c r="F469" s="24"/>
      <c r="H469" s="24"/>
      <c r="I469" s="24"/>
      <c r="J469" s="24"/>
    </row>
    <row r="470">
      <c r="C470" s="24"/>
      <c r="F470" s="24"/>
      <c r="H470" s="24"/>
      <c r="I470" s="24"/>
      <c r="J470" s="24"/>
    </row>
    <row r="471">
      <c r="C471" s="24"/>
      <c r="F471" s="24"/>
      <c r="H471" s="24"/>
      <c r="I471" s="24"/>
      <c r="J471" s="24"/>
    </row>
    <row r="472">
      <c r="C472" s="24"/>
      <c r="F472" s="24"/>
      <c r="H472" s="24"/>
      <c r="I472" s="24"/>
      <c r="J472" s="24"/>
    </row>
    <row r="473">
      <c r="C473" s="24"/>
      <c r="F473" s="24"/>
      <c r="H473" s="24"/>
      <c r="I473" s="24"/>
      <c r="J473" s="24"/>
    </row>
    <row r="474">
      <c r="C474" s="24"/>
      <c r="F474" s="24"/>
      <c r="H474" s="24"/>
      <c r="I474" s="24"/>
      <c r="J474" s="24"/>
    </row>
    <row r="475">
      <c r="C475" s="24"/>
      <c r="F475" s="24"/>
      <c r="H475" s="24"/>
      <c r="I475" s="24"/>
      <c r="J475" s="24"/>
    </row>
    <row r="476">
      <c r="C476" s="24"/>
      <c r="F476" s="24"/>
      <c r="H476" s="24"/>
      <c r="I476" s="24"/>
      <c r="J476" s="24"/>
    </row>
    <row r="477">
      <c r="C477" s="24"/>
      <c r="F477" s="24"/>
      <c r="H477" s="24"/>
      <c r="I477" s="24"/>
      <c r="J477" s="24"/>
    </row>
    <row r="478">
      <c r="C478" s="24"/>
      <c r="F478" s="24"/>
      <c r="H478" s="24"/>
      <c r="I478" s="24"/>
      <c r="J478" s="24"/>
    </row>
    <row r="479">
      <c r="C479" s="24"/>
      <c r="F479" s="24"/>
      <c r="H479" s="24"/>
      <c r="I479" s="24"/>
      <c r="J479" s="24"/>
    </row>
    <row r="480">
      <c r="C480" s="24"/>
      <c r="F480" s="24"/>
      <c r="H480" s="24"/>
      <c r="I480" s="24"/>
      <c r="J480" s="24"/>
    </row>
    <row r="481">
      <c r="C481" s="24"/>
      <c r="F481" s="24"/>
      <c r="H481" s="24"/>
      <c r="I481" s="24"/>
      <c r="J481" s="24"/>
    </row>
    <row r="482">
      <c r="C482" s="24"/>
      <c r="F482" s="24"/>
      <c r="H482" s="24"/>
      <c r="I482" s="24"/>
      <c r="J482" s="24"/>
    </row>
    <row r="483">
      <c r="C483" s="24"/>
      <c r="F483" s="24"/>
      <c r="H483" s="24"/>
      <c r="I483" s="24"/>
      <c r="J483" s="24"/>
    </row>
    <row r="484">
      <c r="C484" s="24"/>
      <c r="F484" s="24"/>
      <c r="H484" s="24"/>
      <c r="I484" s="24"/>
      <c r="J484" s="24"/>
    </row>
    <row r="485">
      <c r="C485" s="24"/>
      <c r="F485" s="24"/>
      <c r="H485" s="24"/>
      <c r="I485" s="24"/>
      <c r="J485" s="24"/>
    </row>
    <row r="486">
      <c r="C486" s="24"/>
      <c r="F486" s="24"/>
      <c r="H486" s="24"/>
      <c r="I486" s="24"/>
      <c r="J486" s="24"/>
    </row>
    <row r="487">
      <c r="C487" s="24"/>
      <c r="F487" s="24"/>
      <c r="H487" s="24"/>
      <c r="I487" s="24"/>
      <c r="J487" s="24"/>
    </row>
    <row r="488">
      <c r="C488" s="24"/>
      <c r="F488" s="24"/>
      <c r="H488" s="24"/>
      <c r="I488" s="24"/>
      <c r="J488" s="24"/>
    </row>
    <row r="489">
      <c r="C489" s="24"/>
      <c r="F489" s="24"/>
      <c r="H489" s="24"/>
      <c r="I489" s="24"/>
      <c r="J489" s="24"/>
    </row>
    <row r="490">
      <c r="C490" s="24"/>
      <c r="F490" s="24"/>
      <c r="H490" s="24"/>
      <c r="I490" s="24"/>
      <c r="J490" s="24"/>
    </row>
    <row r="491">
      <c r="C491" s="24"/>
      <c r="F491" s="24"/>
      <c r="H491" s="24"/>
      <c r="I491" s="24"/>
      <c r="J491" s="24"/>
    </row>
    <row r="492">
      <c r="C492" s="24"/>
      <c r="F492" s="24"/>
      <c r="H492" s="24"/>
      <c r="I492" s="24"/>
      <c r="J492" s="24"/>
    </row>
    <row r="493">
      <c r="C493" s="24"/>
      <c r="F493" s="24"/>
      <c r="H493" s="24"/>
      <c r="I493" s="24"/>
      <c r="J493" s="24"/>
    </row>
    <row r="494">
      <c r="C494" s="24"/>
      <c r="F494" s="24"/>
      <c r="H494" s="24"/>
      <c r="I494" s="24"/>
      <c r="J494" s="24"/>
    </row>
    <row r="495">
      <c r="C495" s="24"/>
      <c r="F495" s="24"/>
      <c r="H495" s="24"/>
      <c r="I495" s="24"/>
      <c r="J495" s="24"/>
    </row>
    <row r="496">
      <c r="C496" s="24"/>
      <c r="F496" s="24"/>
      <c r="H496" s="24"/>
      <c r="I496" s="24"/>
      <c r="J496" s="24"/>
    </row>
    <row r="497">
      <c r="C497" s="24"/>
      <c r="F497" s="24"/>
      <c r="H497" s="24"/>
      <c r="I497" s="24"/>
      <c r="J497" s="24"/>
    </row>
    <row r="498">
      <c r="C498" s="24"/>
      <c r="F498" s="24"/>
      <c r="H498" s="24"/>
      <c r="I498" s="24"/>
      <c r="J498" s="24"/>
    </row>
    <row r="499">
      <c r="C499" s="24"/>
      <c r="F499" s="24"/>
      <c r="H499" s="24"/>
      <c r="I499" s="24"/>
      <c r="J499" s="24"/>
    </row>
    <row r="500">
      <c r="C500" s="24"/>
      <c r="F500" s="24"/>
      <c r="H500" s="24"/>
      <c r="I500" s="24"/>
      <c r="J500" s="24"/>
    </row>
    <row r="501">
      <c r="C501" s="24"/>
      <c r="F501" s="24"/>
      <c r="H501" s="24"/>
      <c r="I501" s="24"/>
      <c r="J501" s="24"/>
    </row>
    <row r="502">
      <c r="C502" s="24"/>
      <c r="F502" s="24"/>
      <c r="H502" s="24"/>
      <c r="I502" s="24"/>
      <c r="J502" s="24"/>
    </row>
    <row r="503">
      <c r="C503" s="24"/>
      <c r="F503" s="24"/>
      <c r="H503" s="24"/>
      <c r="I503" s="24"/>
      <c r="J503" s="24"/>
    </row>
    <row r="504">
      <c r="C504" s="24"/>
      <c r="F504" s="24"/>
      <c r="H504" s="24"/>
      <c r="I504" s="24"/>
      <c r="J504" s="24"/>
    </row>
    <row r="505">
      <c r="C505" s="24"/>
      <c r="F505" s="24"/>
      <c r="H505" s="24"/>
      <c r="I505" s="24"/>
      <c r="J505" s="24"/>
    </row>
    <row r="506">
      <c r="C506" s="24"/>
      <c r="F506" s="24"/>
      <c r="H506" s="24"/>
      <c r="I506" s="24"/>
      <c r="J506" s="24"/>
    </row>
    <row r="507">
      <c r="C507" s="24"/>
      <c r="F507" s="24"/>
      <c r="H507" s="24"/>
      <c r="I507" s="24"/>
      <c r="J507" s="24"/>
    </row>
    <row r="508">
      <c r="C508" s="24"/>
      <c r="F508" s="24"/>
      <c r="H508" s="24"/>
      <c r="I508" s="24"/>
      <c r="J508" s="24"/>
    </row>
    <row r="509">
      <c r="C509" s="24"/>
      <c r="F509" s="24"/>
      <c r="H509" s="24"/>
      <c r="I509" s="24"/>
      <c r="J509" s="24"/>
    </row>
    <row r="510">
      <c r="C510" s="24"/>
      <c r="F510" s="24"/>
      <c r="H510" s="24"/>
      <c r="I510" s="24"/>
      <c r="J510" s="24"/>
    </row>
    <row r="511">
      <c r="C511" s="24"/>
      <c r="F511" s="24"/>
      <c r="H511" s="24"/>
      <c r="I511" s="24"/>
      <c r="J511" s="24"/>
    </row>
    <row r="512">
      <c r="C512" s="24"/>
      <c r="F512" s="24"/>
      <c r="H512" s="24"/>
      <c r="I512" s="24"/>
      <c r="J512" s="24"/>
    </row>
    <row r="513">
      <c r="C513" s="24"/>
      <c r="F513" s="24"/>
      <c r="H513" s="24"/>
      <c r="I513" s="24"/>
      <c r="J513" s="24"/>
    </row>
    <row r="514">
      <c r="C514" s="24"/>
      <c r="F514" s="24"/>
      <c r="H514" s="24"/>
      <c r="I514" s="24"/>
      <c r="J514" s="24"/>
    </row>
    <row r="515">
      <c r="C515" s="24"/>
      <c r="F515" s="24"/>
      <c r="H515" s="24"/>
      <c r="I515" s="24"/>
      <c r="J515" s="24"/>
    </row>
    <row r="516">
      <c r="C516" s="24"/>
      <c r="F516" s="24"/>
      <c r="H516" s="24"/>
      <c r="I516" s="24"/>
      <c r="J516" s="24"/>
    </row>
    <row r="517">
      <c r="C517" s="24"/>
      <c r="F517" s="24"/>
      <c r="H517" s="24"/>
      <c r="I517" s="24"/>
      <c r="J517" s="24"/>
    </row>
    <row r="518">
      <c r="C518" s="24"/>
      <c r="F518" s="24"/>
      <c r="H518" s="24"/>
      <c r="I518" s="24"/>
      <c r="J518" s="24"/>
    </row>
    <row r="519">
      <c r="C519" s="24"/>
      <c r="F519" s="24"/>
      <c r="H519" s="24"/>
      <c r="I519" s="24"/>
      <c r="J519" s="24"/>
    </row>
    <row r="520">
      <c r="C520" s="24"/>
      <c r="F520" s="24"/>
      <c r="H520" s="24"/>
      <c r="I520" s="24"/>
      <c r="J520" s="24"/>
    </row>
    <row r="521">
      <c r="C521" s="24"/>
      <c r="F521" s="24"/>
      <c r="H521" s="24"/>
      <c r="I521" s="24"/>
      <c r="J521" s="24"/>
    </row>
    <row r="522">
      <c r="C522" s="24"/>
      <c r="F522" s="24"/>
      <c r="H522" s="24"/>
      <c r="I522" s="24"/>
      <c r="J522" s="24"/>
    </row>
    <row r="523">
      <c r="C523" s="24"/>
      <c r="F523" s="24"/>
      <c r="H523" s="24"/>
      <c r="I523" s="24"/>
      <c r="J523" s="24"/>
    </row>
    <row r="524">
      <c r="C524" s="24"/>
      <c r="F524" s="24"/>
      <c r="H524" s="24"/>
      <c r="I524" s="24"/>
      <c r="J524" s="24"/>
    </row>
    <row r="525">
      <c r="C525" s="24"/>
      <c r="F525" s="24"/>
      <c r="H525" s="24"/>
      <c r="I525" s="24"/>
      <c r="J525" s="24"/>
    </row>
    <row r="526">
      <c r="C526" s="24"/>
      <c r="F526" s="24"/>
      <c r="H526" s="24"/>
      <c r="I526" s="24"/>
      <c r="J526" s="24"/>
    </row>
    <row r="527">
      <c r="C527" s="24"/>
      <c r="F527" s="24"/>
      <c r="H527" s="24"/>
      <c r="I527" s="24"/>
      <c r="J527" s="24"/>
    </row>
    <row r="528">
      <c r="C528" s="24"/>
      <c r="F528" s="24"/>
      <c r="H528" s="24"/>
      <c r="I528" s="24"/>
      <c r="J528" s="24"/>
    </row>
    <row r="529">
      <c r="C529" s="24"/>
      <c r="F529" s="24"/>
      <c r="H529" s="24"/>
      <c r="I529" s="24"/>
      <c r="J529" s="24"/>
    </row>
    <row r="530">
      <c r="C530" s="24"/>
      <c r="F530" s="24"/>
      <c r="H530" s="24"/>
      <c r="I530" s="24"/>
      <c r="J530" s="24"/>
    </row>
    <row r="531">
      <c r="C531" s="24"/>
      <c r="F531" s="24"/>
      <c r="H531" s="24"/>
      <c r="I531" s="24"/>
      <c r="J531" s="24"/>
    </row>
    <row r="532">
      <c r="C532" s="24"/>
      <c r="F532" s="24"/>
      <c r="H532" s="24"/>
      <c r="I532" s="24"/>
      <c r="J532" s="24"/>
    </row>
    <row r="533">
      <c r="C533" s="24"/>
      <c r="F533" s="24"/>
      <c r="H533" s="24"/>
      <c r="I533" s="24"/>
      <c r="J533" s="24"/>
    </row>
    <row r="534">
      <c r="C534" s="24"/>
      <c r="F534" s="24"/>
      <c r="H534" s="24"/>
      <c r="I534" s="24"/>
      <c r="J534" s="24"/>
    </row>
    <row r="535">
      <c r="C535" s="24"/>
      <c r="F535" s="24"/>
      <c r="H535" s="24"/>
      <c r="I535" s="24"/>
      <c r="J535" s="24"/>
    </row>
    <row r="536">
      <c r="C536" s="24"/>
      <c r="F536" s="24"/>
      <c r="H536" s="24"/>
      <c r="I536" s="24"/>
      <c r="J536" s="24"/>
    </row>
    <row r="537">
      <c r="C537" s="24"/>
      <c r="F537" s="24"/>
      <c r="H537" s="24"/>
      <c r="I537" s="24"/>
      <c r="J537" s="24"/>
    </row>
    <row r="538">
      <c r="C538" s="24"/>
      <c r="F538" s="24"/>
      <c r="H538" s="24"/>
      <c r="I538" s="24"/>
      <c r="J538" s="24"/>
    </row>
    <row r="539">
      <c r="C539" s="24"/>
      <c r="F539" s="24"/>
      <c r="H539" s="24"/>
      <c r="I539" s="24"/>
      <c r="J539" s="24"/>
    </row>
    <row r="540">
      <c r="C540" s="24"/>
      <c r="F540" s="24"/>
      <c r="H540" s="24"/>
      <c r="I540" s="24"/>
      <c r="J540" s="24"/>
    </row>
    <row r="541">
      <c r="C541" s="24"/>
      <c r="F541" s="24"/>
      <c r="H541" s="24"/>
      <c r="I541" s="24"/>
      <c r="J541" s="24"/>
    </row>
    <row r="542">
      <c r="C542" s="24"/>
      <c r="F542" s="24"/>
      <c r="H542" s="24"/>
      <c r="I542" s="24"/>
      <c r="J542" s="24"/>
    </row>
    <row r="543">
      <c r="C543" s="24"/>
      <c r="F543" s="24"/>
      <c r="H543" s="24"/>
      <c r="I543" s="24"/>
      <c r="J543" s="24"/>
    </row>
    <row r="544">
      <c r="C544" s="24"/>
      <c r="F544" s="24"/>
      <c r="H544" s="24"/>
      <c r="I544" s="24"/>
      <c r="J544" s="24"/>
    </row>
    <row r="545">
      <c r="C545" s="24"/>
      <c r="F545" s="24"/>
      <c r="H545" s="24"/>
      <c r="I545" s="24"/>
      <c r="J545" s="24"/>
    </row>
    <row r="546">
      <c r="C546" s="24"/>
      <c r="F546" s="24"/>
      <c r="H546" s="24"/>
      <c r="I546" s="24"/>
      <c r="J546" s="24"/>
    </row>
    <row r="547">
      <c r="C547" s="24"/>
      <c r="F547" s="24"/>
      <c r="H547" s="24"/>
      <c r="I547" s="24"/>
      <c r="J547" s="24"/>
    </row>
    <row r="548">
      <c r="C548" s="24"/>
      <c r="F548" s="24"/>
      <c r="H548" s="24"/>
      <c r="I548" s="24"/>
      <c r="J548" s="24"/>
    </row>
    <row r="549">
      <c r="C549" s="24"/>
      <c r="F549" s="24"/>
      <c r="H549" s="24"/>
      <c r="I549" s="24"/>
      <c r="J549" s="24"/>
    </row>
    <row r="550">
      <c r="C550" s="24"/>
      <c r="F550" s="24"/>
      <c r="H550" s="24"/>
      <c r="I550" s="24"/>
      <c r="J550" s="24"/>
    </row>
    <row r="551">
      <c r="C551" s="24"/>
      <c r="F551" s="24"/>
      <c r="H551" s="24"/>
      <c r="I551" s="24"/>
      <c r="J551" s="24"/>
    </row>
    <row r="552">
      <c r="C552" s="24"/>
      <c r="F552" s="24"/>
      <c r="H552" s="24"/>
      <c r="I552" s="24"/>
      <c r="J552" s="24"/>
    </row>
    <row r="553">
      <c r="C553" s="24"/>
      <c r="F553" s="24"/>
      <c r="H553" s="24"/>
      <c r="I553" s="24"/>
      <c r="J553" s="24"/>
    </row>
    <row r="554">
      <c r="C554" s="24"/>
      <c r="F554" s="24"/>
      <c r="H554" s="24"/>
      <c r="I554" s="24"/>
      <c r="J554" s="24"/>
    </row>
    <row r="555">
      <c r="C555" s="24"/>
      <c r="F555" s="24"/>
      <c r="H555" s="24"/>
      <c r="I555" s="24"/>
      <c r="J555" s="24"/>
    </row>
    <row r="556">
      <c r="C556" s="24"/>
      <c r="F556" s="24"/>
      <c r="H556" s="24"/>
      <c r="I556" s="24"/>
      <c r="J556" s="24"/>
    </row>
    <row r="557">
      <c r="C557" s="24"/>
      <c r="F557" s="24"/>
      <c r="H557" s="24"/>
      <c r="I557" s="24"/>
      <c r="J557" s="24"/>
    </row>
    <row r="558">
      <c r="C558" s="24"/>
      <c r="F558" s="24"/>
      <c r="H558" s="24"/>
      <c r="I558" s="24"/>
      <c r="J558" s="24"/>
    </row>
    <row r="559">
      <c r="C559" s="24"/>
      <c r="F559" s="24"/>
      <c r="H559" s="24"/>
      <c r="I559" s="24"/>
      <c r="J559" s="24"/>
    </row>
    <row r="560">
      <c r="C560" s="24"/>
      <c r="F560" s="24"/>
      <c r="H560" s="24"/>
      <c r="I560" s="24"/>
      <c r="J560" s="24"/>
    </row>
    <row r="561">
      <c r="C561" s="24"/>
      <c r="F561" s="24"/>
      <c r="H561" s="24"/>
      <c r="I561" s="24"/>
      <c r="J561" s="24"/>
    </row>
    <row r="562">
      <c r="C562" s="24"/>
      <c r="F562" s="24"/>
      <c r="H562" s="24"/>
      <c r="I562" s="24"/>
      <c r="J562" s="24"/>
    </row>
    <row r="563">
      <c r="C563" s="24"/>
      <c r="F563" s="24"/>
      <c r="H563" s="24"/>
      <c r="I563" s="24"/>
      <c r="J563" s="24"/>
    </row>
    <row r="564">
      <c r="C564" s="24"/>
      <c r="F564" s="24"/>
      <c r="H564" s="24"/>
      <c r="I564" s="24"/>
      <c r="J564" s="24"/>
    </row>
    <row r="565">
      <c r="C565" s="24"/>
      <c r="F565" s="24"/>
      <c r="H565" s="24"/>
      <c r="I565" s="24"/>
      <c r="J565" s="24"/>
    </row>
    <row r="566">
      <c r="C566" s="24"/>
      <c r="F566" s="24"/>
      <c r="H566" s="24"/>
      <c r="I566" s="24"/>
      <c r="J566" s="24"/>
    </row>
    <row r="567">
      <c r="C567" s="24"/>
      <c r="F567" s="24"/>
      <c r="H567" s="24"/>
      <c r="I567" s="24"/>
      <c r="J567" s="24"/>
    </row>
    <row r="568">
      <c r="C568" s="24"/>
      <c r="F568" s="24"/>
      <c r="H568" s="24"/>
      <c r="I568" s="24"/>
      <c r="J568" s="24"/>
    </row>
    <row r="569">
      <c r="C569" s="24"/>
      <c r="F569" s="24"/>
      <c r="H569" s="24"/>
      <c r="I569" s="24"/>
      <c r="J569" s="24"/>
    </row>
    <row r="570">
      <c r="C570" s="24"/>
      <c r="F570" s="24"/>
      <c r="H570" s="24"/>
      <c r="I570" s="24"/>
      <c r="J570" s="24"/>
    </row>
    <row r="571">
      <c r="C571" s="24"/>
      <c r="F571" s="24"/>
      <c r="H571" s="24"/>
      <c r="I571" s="24"/>
      <c r="J571" s="24"/>
    </row>
    <row r="572">
      <c r="C572" s="24"/>
      <c r="F572" s="24"/>
      <c r="H572" s="24"/>
      <c r="I572" s="24"/>
      <c r="J572" s="24"/>
    </row>
    <row r="573">
      <c r="C573" s="24"/>
      <c r="F573" s="24"/>
      <c r="H573" s="24"/>
      <c r="I573" s="24"/>
      <c r="J573" s="24"/>
    </row>
    <row r="574">
      <c r="C574" s="24"/>
      <c r="F574" s="24"/>
      <c r="H574" s="24"/>
      <c r="I574" s="24"/>
      <c r="J574" s="24"/>
    </row>
    <row r="575">
      <c r="C575" s="24"/>
      <c r="F575" s="24"/>
      <c r="H575" s="24"/>
      <c r="I575" s="24"/>
      <c r="J575" s="24"/>
    </row>
    <row r="576">
      <c r="C576" s="24"/>
      <c r="F576" s="24"/>
      <c r="H576" s="24"/>
      <c r="I576" s="24"/>
      <c r="J576" s="24"/>
    </row>
    <row r="577">
      <c r="C577" s="24"/>
      <c r="F577" s="24"/>
      <c r="H577" s="24"/>
      <c r="I577" s="24"/>
      <c r="J577" s="24"/>
    </row>
    <row r="578">
      <c r="C578" s="24"/>
      <c r="F578" s="24"/>
      <c r="H578" s="24"/>
      <c r="I578" s="24"/>
      <c r="J578" s="24"/>
    </row>
    <row r="579">
      <c r="C579" s="24"/>
      <c r="F579" s="24"/>
      <c r="H579" s="24"/>
      <c r="I579" s="24"/>
      <c r="J579" s="24"/>
    </row>
    <row r="580">
      <c r="C580" s="24"/>
      <c r="F580" s="24"/>
      <c r="H580" s="24"/>
      <c r="I580" s="24"/>
      <c r="J580" s="24"/>
    </row>
    <row r="581">
      <c r="C581" s="24"/>
      <c r="F581" s="24"/>
      <c r="H581" s="24"/>
      <c r="I581" s="24"/>
      <c r="J581" s="24"/>
    </row>
    <row r="582">
      <c r="C582" s="24"/>
      <c r="F582" s="24"/>
      <c r="H582" s="24"/>
      <c r="I582" s="24"/>
      <c r="J582" s="24"/>
    </row>
    <row r="583">
      <c r="C583" s="24"/>
      <c r="F583" s="24"/>
      <c r="H583" s="24"/>
      <c r="I583" s="24"/>
      <c r="J583" s="24"/>
    </row>
    <row r="584">
      <c r="C584" s="24"/>
      <c r="F584" s="24"/>
      <c r="H584" s="24"/>
      <c r="I584" s="24"/>
      <c r="J584" s="24"/>
    </row>
    <row r="585">
      <c r="C585" s="24"/>
      <c r="F585" s="24"/>
      <c r="H585" s="24"/>
      <c r="I585" s="24"/>
      <c r="J585" s="24"/>
    </row>
    <row r="586">
      <c r="C586" s="24"/>
      <c r="F586" s="24"/>
      <c r="H586" s="24"/>
      <c r="I586" s="24"/>
      <c r="J586" s="24"/>
    </row>
    <row r="587">
      <c r="C587" s="24"/>
      <c r="F587" s="24"/>
      <c r="H587" s="24"/>
      <c r="I587" s="24"/>
      <c r="J587" s="24"/>
    </row>
    <row r="588">
      <c r="C588" s="24"/>
      <c r="F588" s="24"/>
      <c r="H588" s="24"/>
      <c r="I588" s="24"/>
      <c r="J588" s="24"/>
    </row>
    <row r="589">
      <c r="C589" s="24"/>
      <c r="F589" s="24"/>
      <c r="H589" s="24"/>
      <c r="I589" s="24"/>
      <c r="J589" s="24"/>
    </row>
    <row r="590">
      <c r="C590" s="24"/>
      <c r="F590" s="24"/>
      <c r="H590" s="24"/>
      <c r="I590" s="24"/>
      <c r="J590" s="24"/>
    </row>
    <row r="591">
      <c r="C591" s="24"/>
      <c r="F591" s="24"/>
      <c r="H591" s="24"/>
      <c r="I591" s="24"/>
      <c r="J591" s="24"/>
    </row>
    <row r="592">
      <c r="C592" s="24"/>
      <c r="F592" s="24"/>
      <c r="H592" s="24"/>
      <c r="I592" s="24"/>
      <c r="J592" s="24"/>
    </row>
    <row r="593">
      <c r="C593" s="24"/>
      <c r="F593" s="24"/>
      <c r="H593" s="24"/>
      <c r="I593" s="24"/>
      <c r="J593" s="24"/>
    </row>
    <row r="594">
      <c r="C594" s="24"/>
      <c r="F594" s="24"/>
      <c r="H594" s="24"/>
      <c r="I594" s="24"/>
      <c r="J594" s="24"/>
    </row>
    <row r="595">
      <c r="C595" s="24"/>
      <c r="F595" s="24"/>
      <c r="H595" s="24"/>
      <c r="I595" s="24"/>
      <c r="J595" s="24"/>
    </row>
    <row r="596">
      <c r="C596" s="24"/>
      <c r="F596" s="24"/>
      <c r="H596" s="24"/>
      <c r="I596" s="24"/>
      <c r="J596" s="24"/>
    </row>
    <row r="597">
      <c r="C597" s="24"/>
      <c r="F597" s="24"/>
      <c r="H597" s="24"/>
      <c r="I597" s="24"/>
      <c r="J597" s="24"/>
    </row>
    <row r="598">
      <c r="C598" s="24"/>
      <c r="F598" s="24"/>
      <c r="H598" s="24"/>
      <c r="I598" s="24"/>
      <c r="J598" s="24"/>
    </row>
    <row r="599">
      <c r="C599" s="24"/>
      <c r="F599" s="24"/>
      <c r="H599" s="24"/>
      <c r="I599" s="24"/>
      <c r="J599" s="24"/>
    </row>
    <row r="600">
      <c r="C600" s="24"/>
      <c r="F600" s="24"/>
      <c r="H600" s="24"/>
      <c r="I600" s="24"/>
      <c r="J600" s="24"/>
    </row>
    <row r="601">
      <c r="C601" s="24"/>
      <c r="F601" s="24"/>
      <c r="H601" s="24"/>
      <c r="I601" s="24"/>
      <c r="J601" s="24"/>
    </row>
    <row r="602">
      <c r="C602" s="24"/>
      <c r="F602" s="24"/>
      <c r="H602" s="24"/>
      <c r="I602" s="24"/>
      <c r="J602" s="24"/>
    </row>
    <row r="603">
      <c r="C603" s="24"/>
      <c r="F603" s="24"/>
      <c r="H603" s="24"/>
      <c r="I603" s="24"/>
      <c r="J603" s="24"/>
    </row>
    <row r="604">
      <c r="C604" s="24"/>
      <c r="F604" s="24"/>
      <c r="H604" s="24"/>
      <c r="I604" s="24"/>
      <c r="J604" s="24"/>
    </row>
    <row r="605">
      <c r="C605" s="24"/>
      <c r="F605" s="24"/>
      <c r="H605" s="24"/>
      <c r="I605" s="24"/>
      <c r="J605" s="24"/>
    </row>
    <row r="606">
      <c r="C606" s="24"/>
      <c r="F606" s="24"/>
      <c r="H606" s="24"/>
      <c r="I606" s="24"/>
      <c r="J606" s="24"/>
    </row>
    <row r="607">
      <c r="C607" s="24"/>
      <c r="F607" s="24"/>
      <c r="H607" s="24"/>
      <c r="I607" s="24"/>
      <c r="J607" s="24"/>
    </row>
    <row r="608">
      <c r="C608" s="24"/>
      <c r="F608" s="24"/>
      <c r="H608" s="24"/>
      <c r="I608" s="24"/>
      <c r="J608" s="24"/>
    </row>
    <row r="609">
      <c r="C609" s="24"/>
      <c r="F609" s="24"/>
      <c r="H609" s="24"/>
      <c r="I609" s="24"/>
      <c r="J609" s="24"/>
    </row>
    <row r="610">
      <c r="C610" s="24"/>
      <c r="F610" s="24"/>
      <c r="H610" s="24"/>
      <c r="I610" s="24"/>
      <c r="J610" s="24"/>
    </row>
    <row r="611">
      <c r="C611" s="24"/>
      <c r="F611" s="24"/>
      <c r="H611" s="24"/>
      <c r="I611" s="24"/>
      <c r="J611" s="24"/>
    </row>
    <row r="612">
      <c r="C612" s="24"/>
      <c r="F612" s="24"/>
      <c r="H612" s="24"/>
      <c r="I612" s="24"/>
      <c r="J612" s="24"/>
    </row>
    <row r="613">
      <c r="C613" s="24"/>
      <c r="F613" s="24"/>
      <c r="H613" s="24"/>
      <c r="I613" s="24"/>
      <c r="J613" s="24"/>
    </row>
    <row r="614">
      <c r="C614" s="24"/>
      <c r="F614" s="24"/>
      <c r="H614" s="24"/>
      <c r="I614" s="24"/>
      <c r="J614" s="24"/>
    </row>
    <row r="615">
      <c r="C615" s="24"/>
      <c r="F615" s="24"/>
      <c r="H615" s="24"/>
      <c r="I615" s="24"/>
      <c r="J615" s="24"/>
    </row>
    <row r="616">
      <c r="C616" s="24"/>
      <c r="F616" s="24"/>
      <c r="H616" s="24"/>
      <c r="I616" s="24"/>
      <c r="J616" s="24"/>
    </row>
    <row r="617">
      <c r="C617" s="24"/>
      <c r="F617" s="24"/>
      <c r="H617" s="24"/>
      <c r="I617" s="24"/>
      <c r="J617" s="24"/>
    </row>
    <row r="618">
      <c r="C618" s="24"/>
      <c r="F618" s="24"/>
      <c r="H618" s="24"/>
      <c r="I618" s="24"/>
      <c r="J618" s="24"/>
    </row>
    <row r="619">
      <c r="C619" s="24"/>
      <c r="F619" s="24"/>
      <c r="H619" s="24"/>
      <c r="I619" s="24"/>
      <c r="J619" s="24"/>
    </row>
    <row r="620">
      <c r="C620" s="24"/>
      <c r="F620" s="24"/>
      <c r="H620" s="24"/>
      <c r="I620" s="24"/>
      <c r="J620" s="24"/>
    </row>
    <row r="621">
      <c r="C621" s="24"/>
      <c r="F621" s="24"/>
      <c r="H621" s="24"/>
      <c r="I621" s="24"/>
      <c r="J621" s="24"/>
    </row>
    <row r="622">
      <c r="C622" s="24"/>
      <c r="F622" s="24"/>
      <c r="H622" s="24"/>
      <c r="I622" s="24"/>
      <c r="J622" s="24"/>
    </row>
    <row r="623">
      <c r="C623" s="24"/>
      <c r="F623" s="24"/>
      <c r="H623" s="24"/>
      <c r="I623" s="24"/>
      <c r="J623" s="24"/>
    </row>
    <row r="624">
      <c r="C624" s="24"/>
      <c r="F624" s="24"/>
      <c r="H624" s="24"/>
      <c r="I624" s="24"/>
      <c r="J624" s="24"/>
    </row>
    <row r="625">
      <c r="C625" s="24"/>
      <c r="F625" s="24"/>
      <c r="H625" s="24"/>
      <c r="I625" s="24"/>
      <c r="J625" s="24"/>
    </row>
    <row r="626">
      <c r="C626" s="24"/>
      <c r="F626" s="24"/>
      <c r="H626" s="24"/>
      <c r="I626" s="24"/>
      <c r="J626" s="24"/>
    </row>
    <row r="627">
      <c r="C627" s="24"/>
      <c r="F627" s="24"/>
      <c r="H627" s="24"/>
      <c r="I627" s="24"/>
      <c r="J627" s="24"/>
    </row>
    <row r="628">
      <c r="C628" s="24"/>
      <c r="F628" s="24"/>
      <c r="H628" s="24"/>
      <c r="I628" s="24"/>
      <c r="J628" s="24"/>
    </row>
    <row r="629">
      <c r="C629" s="24"/>
      <c r="F629" s="24"/>
      <c r="H629" s="24"/>
      <c r="I629" s="24"/>
      <c r="J629" s="24"/>
    </row>
    <row r="630">
      <c r="C630" s="24"/>
      <c r="F630" s="24"/>
      <c r="H630" s="24"/>
      <c r="I630" s="24"/>
      <c r="J630" s="24"/>
    </row>
    <row r="631">
      <c r="C631" s="24"/>
      <c r="F631" s="24"/>
      <c r="H631" s="24"/>
      <c r="I631" s="24"/>
      <c r="J631" s="24"/>
    </row>
    <row r="632">
      <c r="C632" s="24"/>
      <c r="F632" s="24"/>
      <c r="H632" s="24"/>
      <c r="I632" s="24"/>
      <c r="J632" s="24"/>
    </row>
    <row r="633">
      <c r="C633" s="24"/>
      <c r="F633" s="24"/>
      <c r="H633" s="24"/>
      <c r="I633" s="24"/>
      <c r="J633" s="24"/>
    </row>
    <row r="634">
      <c r="C634" s="24"/>
      <c r="F634" s="24"/>
      <c r="H634" s="24"/>
      <c r="I634" s="24"/>
      <c r="J634" s="24"/>
    </row>
    <row r="635">
      <c r="C635" s="24"/>
      <c r="F635" s="24"/>
      <c r="H635" s="24"/>
      <c r="I635" s="24"/>
      <c r="J635" s="24"/>
    </row>
    <row r="636">
      <c r="C636" s="24"/>
      <c r="F636" s="24"/>
      <c r="H636" s="24"/>
      <c r="I636" s="24"/>
      <c r="J636" s="24"/>
    </row>
    <row r="637">
      <c r="C637" s="24"/>
      <c r="F637" s="24"/>
      <c r="H637" s="24"/>
      <c r="I637" s="24"/>
      <c r="J637" s="24"/>
    </row>
    <row r="638">
      <c r="C638" s="24"/>
      <c r="F638" s="24"/>
      <c r="H638" s="24"/>
      <c r="I638" s="24"/>
      <c r="J638" s="24"/>
    </row>
    <row r="639">
      <c r="C639" s="24"/>
      <c r="F639" s="24"/>
      <c r="H639" s="24"/>
      <c r="I639" s="24"/>
      <c r="J639" s="24"/>
    </row>
    <row r="640">
      <c r="C640" s="24"/>
      <c r="F640" s="24"/>
      <c r="H640" s="24"/>
      <c r="I640" s="24"/>
      <c r="J640" s="24"/>
    </row>
    <row r="641">
      <c r="C641" s="24"/>
      <c r="F641" s="24"/>
      <c r="H641" s="24"/>
      <c r="I641" s="24"/>
      <c r="J641" s="24"/>
    </row>
    <row r="642">
      <c r="C642" s="24"/>
      <c r="F642" s="24"/>
      <c r="H642" s="24"/>
      <c r="I642" s="24"/>
      <c r="J642" s="24"/>
    </row>
    <row r="643">
      <c r="C643" s="24"/>
      <c r="F643" s="24"/>
      <c r="H643" s="24"/>
      <c r="I643" s="24"/>
      <c r="J643" s="24"/>
    </row>
    <row r="644">
      <c r="C644" s="24"/>
      <c r="F644" s="24"/>
      <c r="H644" s="24"/>
      <c r="I644" s="24"/>
      <c r="J644" s="24"/>
    </row>
    <row r="645">
      <c r="C645" s="24"/>
      <c r="F645" s="24"/>
      <c r="H645" s="24"/>
      <c r="I645" s="24"/>
      <c r="J645" s="24"/>
    </row>
    <row r="646">
      <c r="C646" s="24"/>
      <c r="F646" s="24"/>
      <c r="H646" s="24"/>
      <c r="I646" s="24"/>
      <c r="J646" s="24"/>
    </row>
    <row r="647">
      <c r="C647" s="24"/>
      <c r="F647" s="24"/>
      <c r="H647" s="24"/>
      <c r="I647" s="24"/>
      <c r="J647" s="24"/>
    </row>
    <row r="648">
      <c r="C648" s="24"/>
      <c r="F648" s="24"/>
      <c r="H648" s="24"/>
      <c r="I648" s="24"/>
      <c r="J648" s="24"/>
    </row>
    <row r="649">
      <c r="C649" s="24"/>
      <c r="F649" s="24"/>
      <c r="H649" s="24"/>
      <c r="I649" s="24"/>
      <c r="J649" s="24"/>
    </row>
    <row r="650">
      <c r="C650" s="24"/>
      <c r="F650" s="24"/>
      <c r="H650" s="24"/>
      <c r="I650" s="24"/>
      <c r="J650" s="24"/>
    </row>
    <row r="651">
      <c r="C651" s="24"/>
      <c r="F651" s="24"/>
      <c r="H651" s="24"/>
      <c r="I651" s="24"/>
      <c r="J651" s="24"/>
    </row>
    <row r="652">
      <c r="C652" s="24"/>
      <c r="F652" s="24"/>
      <c r="H652" s="24"/>
      <c r="I652" s="24"/>
      <c r="J652" s="24"/>
    </row>
    <row r="653">
      <c r="C653" s="24"/>
      <c r="F653" s="24"/>
      <c r="H653" s="24"/>
      <c r="I653" s="24"/>
      <c r="J653" s="24"/>
    </row>
    <row r="654">
      <c r="C654" s="24"/>
      <c r="F654" s="24"/>
      <c r="H654" s="24"/>
      <c r="I654" s="24"/>
      <c r="J654" s="24"/>
    </row>
    <row r="655">
      <c r="C655" s="24"/>
      <c r="F655" s="24"/>
      <c r="H655" s="24"/>
      <c r="I655" s="24"/>
      <c r="J655" s="24"/>
    </row>
    <row r="656">
      <c r="C656" s="24"/>
      <c r="F656" s="24"/>
      <c r="H656" s="24"/>
      <c r="I656" s="24"/>
      <c r="J656" s="24"/>
    </row>
    <row r="657">
      <c r="C657" s="24"/>
      <c r="F657" s="24"/>
      <c r="H657" s="24"/>
      <c r="I657" s="24"/>
      <c r="J657" s="24"/>
    </row>
    <row r="658">
      <c r="C658" s="24"/>
      <c r="F658" s="24"/>
      <c r="H658" s="24"/>
      <c r="I658" s="24"/>
      <c r="J658" s="24"/>
    </row>
    <row r="659">
      <c r="C659" s="24"/>
      <c r="F659" s="24"/>
      <c r="H659" s="24"/>
      <c r="I659" s="24"/>
      <c r="J659" s="24"/>
    </row>
    <row r="660">
      <c r="C660" s="24"/>
      <c r="F660" s="24"/>
      <c r="H660" s="24"/>
      <c r="I660" s="24"/>
      <c r="J660" s="24"/>
    </row>
    <row r="661">
      <c r="C661" s="24"/>
      <c r="F661" s="24"/>
      <c r="H661" s="24"/>
      <c r="I661" s="24"/>
      <c r="J661" s="24"/>
    </row>
    <row r="662">
      <c r="C662" s="24"/>
      <c r="F662" s="24"/>
      <c r="H662" s="24"/>
      <c r="I662" s="24"/>
      <c r="J662" s="24"/>
    </row>
    <row r="663">
      <c r="C663" s="24"/>
      <c r="F663" s="24"/>
      <c r="H663" s="24"/>
      <c r="I663" s="24"/>
      <c r="J663" s="24"/>
    </row>
    <row r="664">
      <c r="C664" s="24"/>
      <c r="F664" s="24"/>
      <c r="H664" s="24"/>
      <c r="I664" s="24"/>
      <c r="J664" s="24"/>
    </row>
    <row r="665">
      <c r="C665" s="24"/>
      <c r="F665" s="24"/>
      <c r="H665" s="24"/>
      <c r="I665" s="24"/>
      <c r="J665" s="24"/>
    </row>
    <row r="666">
      <c r="C666" s="24"/>
      <c r="F666" s="24"/>
      <c r="H666" s="24"/>
      <c r="I666" s="24"/>
      <c r="J666" s="24"/>
    </row>
    <row r="667">
      <c r="C667" s="24"/>
      <c r="F667" s="24"/>
      <c r="H667" s="24"/>
      <c r="I667" s="24"/>
      <c r="J667" s="24"/>
    </row>
    <row r="668">
      <c r="C668" s="24"/>
      <c r="F668" s="24"/>
      <c r="H668" s="24"/>
      <c r="I668" s="24"/>
      <c r="J668" s="24"/>
    </row>
    <row r="669">
      <c r="C669" s="24"/>
      <c r="F669" s="24"/>
      <c r="H669" s="24"/>
      <c r="I669" s="24"/>
      <c r="J669" s="24"/>
    </row>
    <row r="670">
      <c r="C670" s="24"/>
      <c r="F670" s="24"/>
      <c r="H670" s="24"/>
      <c r="I670" s="24"/>
      <c r="J670" s="24"/>
    </row>
    <row r="671">
      <c r="C671" s="24"/>
      <c r="F671" s="24"/>
      <c r="H671" s="24"/>
      <c r="I671" s="24"/>
      <c r="J671" s="24"/>
    </row>
    <row r="672">
      <c r="C672" s="24"/>
      <c r="F672" s="24"/>
      <c r="H672" s="24"/>
      <c r="I672" s="24"/>
      <c r="J672" s="24"/>
    </row>
    <row r="673">
      <c r="C673" s="24"/>
      <c r="F673" s="24"/>
      <c r="H673" s="24"/>
      <c r="I673" s="24"/>
      <c r="J673" s="24"/>
    </row>
    <row r="674">
      <c r="C674" s="24"/>
      <c r="F674" s="24"/>
      <c r="H674" s="24"/>
      <c r="I674" s="24"/>
      <c r="J674" s="24"/>
    </row>
    <row r="675">
      <c r="C675" s="24"/>
      <c r="F675" s="24"/>
      <c r="H675" s="24"/>
      <c r="I675" s="24"/>
      <c r="J675" s="24"/>
    </row>
    <row r="676">
      <c r="C676" s="24"/>
      <c r="F676" s="24"/>
      <c r="H676" s="24"/>
      <c r="I676" s="24"/>
      <c r="J676" s="24"/>
    </row>
    <row r="677">
      <c r="C677" s="24"/>
      <c r="F677" s="24"/>
      <c r="H677" s="24"/>
      <c r="I677" s="24"/>
      <c r="J677" s="24"/>
    </row>
    <row r="678">
      <c r="C678" s="24"/>
      <c r="F678" s="24"/>
      <c r="H678" s="24"/>
      <c r="I678" s="24"/>
      <c r="J678" s="24"/>
    </row>
    <row r="679">
      <c r="C679" s="24"/>
      <c r="F679" s="24"/>
      <c r="H679" s="24"/>
      <c r="I679" s="24"/>
      <c r="J679" s="24"/>
    </row>
    <row r="680">
      <c r="C680" s="24"/>
      <c r="F680" s="24"/>
      <c r="H680" s="24"/>
      <c r="I680" s="24"/>
      <c r="J680" s="24"/>
    </row>
    <row r="681">
      <c r="C681" s="24"/>
      <c r="F681" s="24"/>
      <c r="H681" s="24"/>
      <c r="I681" s="24"/>
      <c r="J681" s="24"/>
    </row>
    <row r="682">
      <c r="C682" s="24"/>
      <c r="F682" s="24"/>
      <c r="H682" s="24"/>
      <c r="I682" s="24"/>
      <c r="J682" s="24"/>
    </row>
    <row r="683">
      <c r="C683" s="24"/>
      <c r="F683" s="24"/>
      <c r="H683" s="24"/>
      <c r="I683" s="24"/>
      <c r="J683" s="24"/>
    </row>
    <row r="684">
      <c r="C684" s="24"/>
      <c r="F684" s="24"/>
      <c r="H684" s="24"/>
      <c r="I684" s="24"/>
      <c r="J684" s="24"/>
    </row>
    <row r="685">
      <c r="C685" s="24"/>
      <c r="F685" s="24"/>
      <c r="H685" s="24"/>
      <c r="I685" s="24"/>
      <c r="J685" s="24"/>
    </row>
    <row r="686">
      <c r="C686" s="24"/>
      <c r="F686" s="24"/>
      <c r="H686" s="24"/>
      <c r="I686" s="24"/>
      <c r="J686" s="24"/>
    </row>
    <row r="687">
      <c r="C687" s="24"/>
      <c r="F687" s="24"/>
      <c r="H687" s="24"/>
      <c r="I687" s="24"/>
      <c r="J687" s="24"/>
    </row>
    <row r="688">
      <c r="C688" s="24"/>
      <c r="F688" s="24"/>
      <c r="H688" s="24"/>
      <c r="I688" s="24"/>
      <c r="J688" s="24"/>
    </row>
    <row r="689">
      <c r="C689" s="24"/>
      <c r="F689" s="24"/>
      <c r="H689" s="24"/>
      <c r="I689" s="24"/>
      <c r="J689" s="24"/>
    </row>
    <row r="690">
      <c r="C690" s="24"/>
      <c r="F690" s="24"/>
      <c r="H690" s="24"/>
      <c r="I690" s="24"/>
      <c r="J690" s="24"/>
    </row>
    <row r="691">
      <c r="C691" s="24"/>
      <c r="F691" s="24"/>
      <c r="H691" s="24"/>
      <c r="I691" s="24"/>
      <c r="J691" s="24"/>
    </row>
    <row r="692">
      <c r="C692" s="24"/>
      <c r="F692" s="24"/>
      <c r="H692" s="24"/>
      <c r="I692" s="24"/>
      <c r="J692" s="24"/>
    </row>
    <row r="693">
      <c r="C693" s="24"/>
      <c r="F693" s="24"/>
      <c r="H693" s="24"/>
      <c r="I693" s="24"/>
      <c r="J693" s="24"/>
    </row>
    <row r="694">
      <c r="C694" s="24"/>
      <c r="F694" s="24"/>
      <c r="H694" s="24"/>
      <c r="I694" s="24"/>
      <c r="J694" s="24"/>
    </row>
    <row r="695">
      <c r="C695" s="24"/>
      <c r="F695" s="24"/>
      <c r="H695" s="24"/>
      <c r="I695" s="24"/>
      <c r="J695" s="24"/>
    </row>
    <row r="696">
      <c r="C696" s="24"/>
      <c r="F696" s="24"/>
      <c r="H696" s="24"/>
      <c r="I696" s="24"/>
      <c r="J696" s="24"/>
    </row>
    <row r="697">
      <c r="C697" s="24"/>
      <c r="F697" s="24"/>
      <c r="H697" s="24"/>
      <c r="I697" s="24"/>
      <c r="J697" s="24"/>
    </row>
    <row r="698">
      <c r="C698" s="24"/>
      <c r="F698" s="24"/>
      <c r="H698" s="24"/>
      <c r="I698" s="24"/>
      <c r="J698" s="24"/>
    </row>
    <row r="699">
      <c r="C699" s="24"/>
      <c r="F699" s="24"/>
      <c r="H699" s="24"/>
      <c r="I699" s="24"/>
      <c r="J699" s="24"/>
    </row>
    <row r="700">
      <c r="C700" s="24"/>
      <c r="F700" s="24"/>
      <c r="H700" s="24"/>
      <c r="I700" s="24"/>
      <c r="J700" s="24"/>
    </row>
    <row r="701">
      <c r="C701" s="24"/>
      <c r="F701" s="24"/>
      <c r="H701" s="24"/>
      <c r="I701" s="24"/>
      <c r="J701" s="24"/>
    </row>
    <row r="702">
      <c r="C702" s="24"/>
      <c r="F702" s="24"/>
      <c r="H702" s="24"/>
      <c r="I702" s="24"/>
      <c r="J702" s="24"/>
    </row>
    <row r="703">
      <c r="C703" s="24"/>
      <c r="F703" s="24"/>
      <c r="H703" s="24"/>
      <c r="I703" s="24"/>
      <c r="J703" s="24"/>
    </row>
    <row r="704">
      <c r="C704" s="24"/>
      <c r="F704" s="24"/>
      <c r="H704" s="24"/>
      <c r="I704" s="24"/>
      <c r="J704" s="24"/>
    </row>
    <row r="705">
      <c r="C705" s="24"/>
      <c r="F705" s="24"/>
      <c r="H705" s="24"/>
      <c r="I705" s="24"/>
      <c r="J705" s="24"/>
    </row>
    <row r="706">
      <c r="C706" s="24"/>
      <c r="F706" s="24"/>
      <c r="H706" s="24"/>
      <c r="I706" s="24"/>
      <c r="J706" s="24"/>
    </row>
    <row r="707">
      <c r="C707" s="24"/>
      <c r="F707" s="24"/>
      <c r="H707" s="24"/>
      <c r="I707" s="24"/>
      <c r="J707" s="24"/>
    </row>
    <row r="708">
      <c r="C708" s="24"/>
      <c r="F708" s="24"/>
      <c r="H708" s="24"/>
      <c r="I708" s="24"/>
      <c r="J708" s="24"/>
    </row>
    <row r="709">
      <c r="C709" s="24"/>
      <c r="F709" s="24"/>
      <c r="H709" s="24"/>
      <c r="I709" s="24"/>
      <c r="J709" s="24"/>
    </row>
    <row r="710">
      <c r="C710" s="24"/>
      <c r="F710" s="24"/>
      <c r="H710" s="24"/>
      <c r="I710" s="24"/>
      <c r="J710" s="24"/>
    </row>
    <row r="711">
      <c r="C711" s="24"/>
      <c r="F711" s="24"/>
      <c r="H711" s="24"/>
      <c r="I711" s="24"/>
      <c r="J711" s="24"/>
    </row>
    <row r="712">
      <c r="C712" s="24"/>
      <c r="F712" s="24"/>
      <c r="H712" s="24"/>
      <c r="I712" s="24"/>
      <c r="J712" s="24"/>
    </row>
    <row r="713">
      <c r="C713" s="24"/>
      <c r="F713" s="24"/>
      <c r="H713" s="24"/>
      <c r="I713" s="24"/>
      <c r="J713" s="24"/>
    </row>
    <row r="714">
      <c r="C714" s="24"/>
      <c r="F714" s="24"/>
      <c r="H714" s="24"/>
      <c r="I714" s="24"/>
      <c r="J714" s="24"/>
    </row>
    <row r="715">
      <c r="C715" s="24"/>
      <c r="F715" s="24"/>
      <c r="H715" s="24"/>
      <c r="I715" s="24"/>
      <c r="J715" s="24"/>
    </row>
    <row r="716">
      <c r="C716" s="24"/>
      <c r="F716" s="24"/>
      <c r="H716" s="24"/>
      <c r="I716" s="24"/>
      <c r="J716" s="24"/>
    </row>
    <row r="717">
      <c r="C717" s="24"/>
      <c r="F717" s="24"/>
      <c r="H717" s="24"/>
      <c r="I717" s="24"/>
      <c r="J717" s="24"/>
    </row>
    <row r="718">
      <c r="C718" s="24"/>
      <c r="F718" s="24"/>
      <c r="H718" s="24"/>
      <c r="I718" s="24"/>
      <c r="J718" s="24"/>
    </row>
    <row r="719">
      <c r="C719" s="24"/>
      <c r="F719" s="24"/>
      <c r="H719" s="24"/>
      <c r="I719" s="24"/>
      <c r="J719" s="24"/>
    </row>
    <row r="720">
      <c r="C720" s="24"/>
      <c r="F720" s="24"/>
      <c r="H720" s="24"/>
      <c r="I720" s="24"/>
      <c r="J720" s="24"/>
    </row>
    <row r="721">
      <c r="C721" s="24"/>
      <c r="F721" s="24"/>
      <c r="H721" s="24"/>
      <c r="I721" s="24"/>
      <c r="J721" s="24"/>
    </row>
    <row r="722">
      <c r="C722" s="24"/>
      <c r="F722" s="24"/>
      <c r="H722" s="24"/>
      <c r="I722" s="24"/>
      <c r="J722" s="24"/>
    </row>
    <row r="723">
      <c r="C723" s="24"/>
      <c r="F723" s="24"/>
      <c r="H723" s="24"/>
      <c r="I723" s="24"/>
      <c r="J723" s="24"/>
    </row>
    <row r="724">
      <c r="C724" s="24"/>
      <c r="F724" s="24"/>
      <c r="H724" s="24"/>
      <c r="I724" s="24"/>
      <c r="J724" s="24"/>
    </row>
    <row r="725">
      <c r="C725" s="24"/>
      <c r="F725" s="24"/>
      <c r="H725" s="24"/>
      <c r="I725" s="24"/>
      <c r="J725" s="24"/>
    </row>
    <row r="726">
      <c r="C726" s="24"/>
      <c r="F726" s="24"/>
      <c r="H726" s="24"/>
      <c r="I726" s="24"/>
      <c r="J726" s="24"/>
    </row>
    <row r="727">
      <c r="C727" s="24"/>
      <c r="F727" s="24"/>
      <c r="H727" s="24"/>
      <c r="I727" s="24"/>
      <c r="J727" s="24"/>
    </row>
    <row r="728">
      <c r="C728" s="24"/>
      <c r="F728" s="24"/>
      <c r="H728" s="24"/>
      <c r="I728" s="24"/>
      <c r="J728" s="24"/>
    </row>
    <row r="729">
      <c r="C729" s="24"/>
      <c r="F729" s="24"/>
      <c r="H729" s="24"/>
      <c r="I729" s="24"/>
      <c r="J729" s="24"/>
    </row>
    <row r="730">
      <c r="C730" s="24"/>
      <c r="F730" s="24"/>
      <c r="H730" s="24"/>
      <c r="I730" s="24"/>
      <c r="J730" s="24"/>
    </row>
    <row r="731">
      <c r="C731" s="24"/>
      <c r="F731" s="24"/>
      <c r="H731" s="24"/>
      <c r="I731" s="24"/>
      <c r="J731" s="24"/>
    </row>
    <row r="732">
      <c r="C732" s="24"/>
      <c r="F732" s="24"/>
      <c r="H732" s="24"/>
      <c r="I732" s="24"/>
      <c r="J732" s="24"/>
    </row>
    <row r="733">
      <c r="C733" s="24"/>
      <c r="F733" s="24"/>
      <c r="H733" s="24"/>
      <c r="I733" s="24"/>
      <c r="J733" s="24"/>
    </row>
    <row r="734">
      <c r="C734" s="24"/>
      <c r="F734" s="24"/>
      <c r="H734" s="24"/>
      <c r="I734" s="24"/>
      <c r="J734" s="24"/>
    </row>
    <row r="735">
      <c r="C735" s="24"/>
      <c r="F735" s="24"/>
      <c r="H735" s="24"/>
      <c r="I735" s="24"/>
      <c r="J735" s="24"/>
    </row>
    <row r="736">
      <c r="C736" s="24"/>
      <c r="F736" s="24"/>
      <c r="H736" s="24"/>
      <c r="I736" s="24"/>
      <c r="J736" s="24"/>
    </row>
    <row r="737">
      <c r="C737" s="24"/>
      <c r="F737" s="24"/>
      <c r="H737" s="24"/>
      <c r="I737" s="24"/>
      <c r="J737" s="24"/>
    </row>
    <row r="738">
      <c r="C738" s="24"/>
      <c r="F738" s="24"/>
      <c r="H738" s="24"/>
      <c r="I738" s="24"/>
      <c r="J738" s="24"/>
    </row>
    <row r="739">
      <c r="C739" s="24"/>
      <c r="F739" s="24"/>
      <c r="H739" s="24"/>
      <c r="I739" s="24"/>
      <c r="J739" s="24"/>
    </row>
    <row r="740">
      <c r="C740" s="24"/>
      <c r="F740" s="24"/>
      <c r="H740" s="24"/>
      <c r="I740" s="24"/>
      <c r="J740" s="24"/>
    </row>
    <row r="741">
      <c r="C741" s="24"/>
      <c r="F741" s="24"/>
      <c r="H741" s="24"/>
      <c r="I741" s="24"/>
      <c r="J741" s="24"/>
    </row>
    <row r="742">
      <c r="C742" s="24"/>
      <c r="F742" s="24"/>
      <c r="H742" s="24"/>
      <c r="I742" s="24"/>
      <c r="J742" s="24"/>
    </row>
    <row r="743">
      <c r="C743" s="24"/>
      <c r="F743" s="24"/>
      <c r="H743" s="24"/>
      <c r="I743" s="24"/>
      <c r="J743" s="24"/>
    </row>
    <row r="744">
      <c r="C744" s="24"/>
      <c r="F744" s="24"/>
      <c r="H744" s="24"/>
      <c r="I744" s="24"/>
      <c r="J744" s="24"/>
    </row>
    <row r="745">
      <c r="C745" s="24"/>
      <c r="F745" s="24"/>
      <c r="H745" s="24"/>
      <c r="I745" s="24"/>
      <c r="J745" s="24"/>
    </row>
    <row r="746">
      <c r="C746" s="24"/>
      <c r="F746" s="24"/>
      <c r="H746" s="24"/>
      <c r="I746" s="24"/>
      <c r="J746" s="24"/>
    </row>
    <row r="747">
      <c r="C747" s="24"/>
      <c r="F747" s="24"/>
      <c r="H747" s="24"/>
      <c r="I747" s="24"/>
      <c r="J747" s="24"/>
    </row>
    <row r="748">
      <c r="C748" s="24"/>
      <c r="F748" s="24"/>
      <c r="H748" s="24"/>
      <c r="I748" s="24"/>
      <c r="J748" s="24"/>
    </row>
    <row r="749">
      <c r="C749" s="24"/>
      <c r="F749" s="24"/>
      <c r="H749" s="24"/>
      <c r="I749" s="24"/>
      <c r="J749" s="24"/>
    </row>
    <row r="750">
      <c r="C750" s="24"/>
      <c r="F750" s="24"/>
      <c r="H750" s="24"/>
      <c r="I750" s="24"/>
      <c r="J750" s="24"/>
    </row>
    <row r="751">
      <c r="C751" s="24"/>
      <c r="F751" s="24"/>
      <c r="H751" s="24"/>
      <c r="I751" s="24"/>
      <c r="J751" s="24"/>
    </row>
    <row r="752">
      <c r="C752" s="24"/>
      <c r="F752" s="24"/>
      <c r="H752" s="24"/>
      <c r="I752" s="24"/>
      <c r="J752" s="24"/>
    </row>
    <row r="753">
      <c r="C753" s="24"/>
      <c r="F753" s="24"/>
      <c r="H753" s="24"/>
      <c r="I753" s="24"/>
      <c r="J753" s="24"/>
    </row>
    <row r="754">
      <c r="C754" s="24"/>
      <c r="F754" s="24"/>
      <c r="H754" s="24"/>
      <c r="I754" s="24"/>
      <c r="J754" s="24"/>
    </row>
    <row r="755">
      <c r="C755" s="24"/>
      <c r="F755" s="24"/>
      <c r="H755" s="24"/>
      <c r="I755" s="24"/>
      <c r="J755" s="24"/>
    </row>
    <row r="756">
      <c r="C756" s="24"/>
      <c r="F756" s="24"/>
      <c r="H756" s="24"/>
      <c r="I756" s="24"/>
      <c r="J756" s="24"/>
    </row>
    <row r="757">
      <c r="C757" s="24"/>
      <c r="F757" s="24"/>
      <c r="H757" s="24"/>
      <c r="I757" s="24"/>
      <c r="J757" s="24"/>
    </row>
    <row r="758">
      <c r="C758" s="24"/>
      <c r="F758" s="24"/>
      <c r="H758" s="24"/>
      <c r="I758" s="24"/>
      <c r="J758" s="24"/>
    </row>
    <row r="759">
      <c r="C759" s="24"/>
      <c r="F759" s="24"/>
      <c r="H759" s="24"/>
      <c r="I759" s="24"/>
      <c r="J759" s="24"/>
    </row>
    <row r="760">
      <c r="C760" s="24"/>
      <c r="F760" s="24"/>
      <c r="H760" s="24"/>
      <c r="I760" s="24"/>
      <c r="J760" s="24"/>
    </row>
    <row r="761">
      <c r="C761" s="24"/>
      <c r="F761" s="24"/>
      <c r="H761" s="24"/>
      <c r="I761" s="24"/>
      <c r="J761" s="24"/>
    </row>
    <row r="762">
      <c r="C762" s="24"/>
      <c r="F762" s="24"/>
      <c r="H762" s="24"/>
      <c r="I762" s="24"/>
      <c r="J762" s="24"/>
    </row>
    <row r="763">
      <c r="C763" s="24"/>
      <c r="F763" s="24"/>
      <c r="H763" s="24"/>
      <c r="I763" s="24"/>
      <c r="J763" s="24"/>
    </row>
    <row r="764">
      <c r="C764" s="24"/>
      <c r="F764" s="24"/>
      <c r="H764" s="24"/>
      <c r="I764" s="24"/>
      <c r="J764" s="24"/>
    </row>
    <row r="765">
      <c r="C765" s="24"/>
      <c r="F765" s="24"/>
      <c r="H765" s="24"/>
      <c r="I765" s="24"/>
      <c r="J765" s="24"/>
    </row>
    <row r="766">
      <c r="C766" s="24"/>
      <c r="F766" s="24"/>
      <c r="H766" s="24"/>
      <c r="I766" s="24"/>
      <c r="J766" s="24"/>
    </row>
    <row r="767">
      <c r="C767" s="24"/>
      <c r="F767" s="24"/>
      <c r="H767" s="24"/>
      <c r="I767" s="24"/>
      <c r="J767" s="24"/>
    </row>
    <row r="768">
      <c r="C768" s="24"/>
      <c r="F768" s="24"/>
      <c r="H768" s="24"/>
      <c r="I768" s="24"/>
      <c r="J768" s="24"/>
    </row>
    <row r="769">
      <c r="C769" s="24"/>
      <c r="F769" s="24"/>
      <c r="H769" s="24"/>
      <c r="I769" s="24"/>
      <c r="J769" s="24"/>
    </row>
    <row r="770">
      <c r="C770" s="24"/>
      <c r="F770" s="24"/>
      <c r="H770" s="24"/>
      <c r="I770" s="24"/>
      <c r="J770" s="24"/>
    </row>
    <row r="771">
      <c r="C771" s="24"/>
      <c r="F771" s="24"/>
      <c r="H771" s="24"/>
      <c r="I771" s="24"/>
      <c r="J771" s="24"/>
    </row>
    <row r="772">
      <c r="C772" s="24"/>
      <c r="F772" s="24"/>
      <c r="H772" s="24"/>
      <c r="I772" s="24"/>
      <c r="J772" s="24"/>
    </row>
    <row r="773">
      <c r="C773" s="24"/>
      <c r="F773" s="24"/>
      <c r="H773" s="24"/>
      <c r="I773" s="24"/>
      <c r="J773" s="24"/>
    </row>
    <row r="774">
      <c r="C774" s="24"/>
      <c r="F774" s="24"/>
      <c r="H774" s="24"/>
      <c r="I774" s="24"/>
      <c r="J774" s="24"/>
    </row>
    <row r="775">
      <c r="C775" s="24"/>
      <c r="F775" s="24"/>
      <c r="H775" s="24"/>
      <c r="I775" s="24"/>
      <c r="J775" s="24"/>
    </row>
    <row r="776">
      <c r="C776" s="24"/>
      <c r="F776" s="24"/>
      <c r="H776" s="24"/>
      <c r="I776" s="24"/>
      <c r="J776" s="24"/>
    </row>
    <row r="777">
      <c r="C777" s="24"/>
      <c r="F777" s="24"/>
      <c r="H777" s="24"/>
      <c r="I777" s="24"/>
      <c r="J777" s="24"/>
    </row>
    <row r="778">
      <c r="C778" s="24"/>
      <c r="F778" s="24"/>
      <c r="H778" s="24"/>
      <c r="I778" s="24"/>
      <c r="J778" s="24"/>
    </row>
    <row r="779">
      <c r="C779" s="24"/>
      <c r="F779" s="24"/>
      <c r="H779" s="24"/>
      <c r="I779" s="24"/>
      <c r="J779" s="24"/>
    </row>
    <row r="780">
      <c r="C780" s="24"/>
      <c r="F780" s="24"/>
      <c r="H780" s="24"/>
      <c r="I780" s="24"/>
      <c r="J780" s="24"/>
    </row>
    <row r="781">
      <c r="C781" s="24"/>
      <c r="F781" s="24"/>
      <c r="H781" s="24"/>
      <c r="I781" s="24"/>
      <c r="J781" s="24"/>
    </row>
    <row r="782">
      <c r="C782" s="24"/>
      <c r="F782" s="24"/>
      <c r="H782" s="24"/>
      <c r="I782" s="24"/>
      <c r="J782" s="24"/>
    </row>
    <row r="783">
      <c r="C783" s="24"/>
      <c r="F783" s="24"/>
      <c r="H783" s="24"/>
      <c r="I783" s="24"/>
      <c r="J783" s="24"/>
    </row>
    <row r="784">
      <c r="C784" s="24"/>
      <c r="F784" s="24"/>
      <c r="H784" s="24"/>
      <c r="I784" s="24"/>
      <c r="J784" s="24"/>
    </row>
    <row r="785">
      <c r="C785" s="24"/>
      <c r="F785" s="24"/>
      <c r="H785" s="24"/>
      <c r="I785" s="24"/>
      <c r="J785" s="24"/>
    </row>
    <row r="786">
      <c r="C786" s="24"/>
      <c r="F786" s="24"/>
      <c r="H786" s="24"/>
      <c r="I786" s="24"/>
      <c r="J786" s="24"/>
    </row>
    <row r="787">
      <c r="C787" s="24"/>
      <c r="F787" s="24"/>
      <c r="H787" s="24"/>
      <c r="I787" s="24"/>
      <c r="J787" s="24"/>
    </row>
    <row r="788">
      <c r="C788" s="24"/>
      <c r="F788" s="24"/>
      <c r="H788" s="24"/>
      <c r="I788" s="24"/>
      <c r="J788" s="24"/>
    </row>
    <row r="789">
      <c r="C789" s="24"/>
      <c r="F789" s="24"/>
      <c r="H789" s="24"/>
      <c r="I789" s="24"/>
      <c r="J789" s="24"/>
    </row>
    <row r="790">
      <c r="C790" s="24"/>
      <c r="F790" s="24"/>
      <c r="H790" s="24"/>
      <c r="I790" s="24"/>
      <c r="J790" s="24"/>
    </row>
    <row r="791">
      <c r="C791" s="24"/>
      <c r="F791" s="24"/>
      <c r="H791" s="24"/>
      <c r="I791" s="24"/>
      <c r="J791" s="24"/>
    </row>
    <row r="792">
      <c r="C792" s="24"/>
      <c r="F792" s="24"/>
      <c r="H792" s="24"/>
      <c r="I792" s="24"/>
      <c r="J792" s="24"/>
    </row>
    <row r="793">
      <c r="C793" s="24"/>
      <c r="F793" s="24"/>
      <c r="H793" s="24"/>
      <c r="I793" s="24"/>
      <c r="J793" s="24"/>
    </row>
    <row r="794">
      <c r="C794" s="24"/>
      <c r="F794" s="24"/>
      <c r="H794" s="24"/>
      <c r="I794" s="24"/>
      <c r="J794" s="24"/>
    </row>
    <row r="795">
      <c r="C795" s="24"/>
      <c r="F795" s="24"/>
      <c r="H795" s="24"/>
      <c r="I795" s="24"/>
      <c r="J795" s="24"/>
    </row>
    <row r="796">
      <c r="C796" s="24"/>
      <c r="F796" s="24"/>
      <c r="H796" s="24"/>
      <c r="I796" s="24"/>
      <c r="J796" s="24"/>
    </row>
    <row r="797">
      <c r="C797" s="24"/>
      <c r="F797" s="24"/>
      <c r="H797" s="24"/>
      <c r="I797" s="24"/>
      <c r="J797" s="24"/>
    </row>
    <row r="798">
      <c r="C798" s="24"/>
      <c r="F798" s="24"/>
      <c r="H798" s="24"/>
      <c r="I798" s="24"/>
      <c r="J798" s="24"/>
    </row>
    <row r="799">
      <c r="C799" s="24"/>
      <c r="F799" s="24"/>
      <c r="H799" s="24"/>
      <c r="I799" s="24"/>
      <c r="J799" s="24"/>
    </row>
    <row r="800">
      <c r="C800" s="24"/>
      <c r="F800" s="24"/>
      <c r="H800" s="24"/>
      <c r="I800" s="24"/>
      <c r="J800" s="24"/>
    </row>
    <row r="801">
      <c r="C801" s="24"/>
      <c r="F801" s="24"/>
      <c r="H801" s="24"/>
      <c r="I801" s="24"/>
      <c r="J801" s="24"/>
    </row>
    <row r="802">
      <c r="C802" s="24"/>
      <c r="F802" s="24"/>
      <c r="H802" s="24"/>
      <c r="I802" s="24"/>
      <c r="J802" s="24"/>
    </row>
    <row r="803">
      <c r="C803" s="24"/>
      <c r="F803" s="24"/>
      <c r="H803" s="24"/>
      <c r="I803" s="24"/>
      <c r="J803" s="24"/>
    </row>
    <row r="804">
      <c r="C804" s="24"/>
      <c r="F804" s="24"/>
      <c r="H804" s="24"/>
      <c r="I804" s="24"/>
      <c r="J804" s="24"/>
    </row>
    <row r="805">
      <c r="C805" s="24"/>
      <c r="F805" s="24"/>
      <c r="H805" s="24"/>
      <c r="I805" s="24"/>
      <c r="J805" s="24"/>
    </row>
    <row r="806">
      <c r="C806" s="24"/>
      <c r="F806" s="24"/>
      <c r="H806" s="24"/>
      <c r="I806" s="24"/>
      <c r="J806" s="24"/>
    </row>
    <row r="807">
      <c r="C807" s="24"/>
      <c r="F807" s="24"/>
      <c r="H807" s="24"/>
      <c r="I807" s="24"/>
      <c r="J807" s="24"/>
    </row>
    <row r="808">
      <c r="C808" s="24"/>
      <c r="F808" s="24"/>
      <c r="H808" s="24"/>
      <c r="I808" s="24"/>
      <c r="J808" s="24"/>
    </row>
    <row r="809">
      <c r="C809" s="24"/>
      <c r="F809" s="24"/>
      <c r="H809" s="24"/>
      <c r="I809" s="24"/>
      <c r="J809" s="24"/>
    </row>
    <row r="810">
      <c r="C810" s="24"/>
      <c r="F810" s="24"/>
      <c r="H810" s="24"/>
      <c r="I810" s="24"/>
      <c r="J810" s="24"/>
    </row>
    <row r="811">
      <c r="C811" s="24"/>
      <c r="F811" s="24"/>
      <c r="H811" s="24"/>
      <c r="I811" s="24"/>
      <c r="J811" s="24"/>
    </row>
    <row r="812">
      <c r="C812" s="24"/>
      <c r="F812" s="24"/>
      <c r="H812" s="24"/>
      <c r="I812" s="24"/>
      <c r="J812" s="24"/>
    </row>
    <row r="813">
      <c r="C813" s="24"/>
      <c r="F813" s="24"/>
      <c r="H813" s="24"/>
      <c r="I813" s="24"/>
      <c r="J813" s="24"/>
    </row>
    <row r="814">
      <c r="C814" s="24"/>
      <c r="F814" s="24"/>
      <c r="H814" s="24"/>
      <c r="I814" s="24"/>
      <c r="J814" s="24"/>
    </row>
    <row r="815">
      <c r="C815" s="24"/>
      <c r="F815" s="24"/>
      <c r="H815" s="24"/>
      <c r="I815" s="24"/>
      <c r="J815" s="24"/>
    </row>
    <row r="816">
      <c r="C816" s="24"/>
      <c r="F816" s="24"/>
      <c r="H816" s="24"/>
      <c r="I816" s="24"/>
      <c r="J816" s="24"/>
    </row>
    <row r="817">
      <c r="C817" s="24"/>
      <c r="F817" s="24"/>
      <c r="H817" s="24"/>
      <c r="I817" s="24"/>
      <c r="J817" s="24"/>
    </row>
    <row r="818">
      <c r="C818" s="24"/>
      <c r="F818" s="24"/>
      <c r="H818" s="24"/>
      <c r="I818" s="24"/>
      <c r="J818" s="24"/>
    </row>
    <row r="819">
      <c r="C819" s="24"/>
      <c r="F819" s="24"/>
      <c r="H819" s="24"/>
      <c r="I819" s="24"/>
      <c r="J819" s="24"/>
    </row>
    <row r="820">
      <c r="C820" s="24"/>
      <c r="F820" s="24"/>
      <c r="H820" s="24"/>
      <c r="I820" s="24"/>
      <c r="J820" s="24"/>
    </row>
    <row r="821">
      <c r="C821" s="24"/>
      <c r="F821" s="24"/>
      <c r="H821" s="24"/>
      <c r="I821" s="24"/>
      <c r="J821" s="24"/>
    </row>
    <row r="822">
      <c r="C822" s="24"/>
      <c r="F822" s="24"/>
      <c r="H822" s="24"/>
      <c r="I822" s="24"/>
      <c r="J822" s="24"/>
    </row>
    <row r="823">
      <c r="C823" s="24"/>
      <c r="F823" s="24"/>
      <c r="H823" s="24"/>
      <c r="I823" s="24"/>
      <c r="J823" s="24"/>
    </row>
    <row r="824">
      <c r="C824" s="24"/>
      <c r="F824" s="24"/>
      <c r="H824" s="24"/>
      <c r="I824" s="24"/>
      <c r="J824" s="24"/>
    </row>
    <row r="825">
      <c r="C825" s="24"/>
      <c r="F825" s="24"/>
      <c r="H825" s="24"/>
      <c r="I825" s="24"/>
      <c r="J825" s="24"/>
    </row>
    <row r="826">
      <c r="C826" s="24"/>
      <c r="F826" s="24"/>
      <c r="H826" s="24"/>
      <c r="I826" s="24"/>
      <c r="J826" s="24"/>
    </row>
    <row r="827">
      <c r="C827" s="24"/>
      <c r="F827" s="24"/>
      <c r="H827" s="24"/>
      <c r="I827" s="24"/>
      <c r="J827" s="24"/>
    </row>
    <row r="828">
      <c r="C828" s="24"/>
      <c r="F828" s="24"/>
      <c r="H828" s="24"/>
      <c r="I828" s="24"/>
      <c r="J828" s="24"/>
    </row>
    <row r="829">
      <c r="C829" s="24"/>
      <c r="F829" s="24"/>
      <c r="H829" s="24"/>
      <c r="I829" s="24"/>
      <c r="J829" s="24"/>
    </row>
    <row r="830">
      <c r="C830" s="24"/>
      <c r="F830" s="24"/>
      <c r="H830" s="24"/>
      <c r="I830" s="24"/>
      <c r="J830" s="24"/>
    </row>
    <row r="831">
      <c r="C831" s="24"/>
      <c r="F831" s="24"/>
      <c r="H831" s="24"/>
      <c r="I831" s="24"/>
      <c r="J831" s="24"/>
    </row>
    <row r="832">
      <c r="C832" s="24"/>
      <c r="F832" s="24"/>
      <c r="H832" s="24"/>
      <c r="I832" s="24"/>
      <c r="J832" s="24"/>
    </row>
    <row r="833">
      <c r="C833" s="24"/>
      <c r="F833" s="24"/>
      <c r="H833" s="24"/>
      <c r="I833" s="24"/>
      <c r="J833" s="24"/>
    </row>
    <row r="834">
      <c r="C834" s="24"/>
      <c r="F834" s="24"/>
      <c r="H834" s="24"/>
      <c r="I834" s="24"/>
      <c r="J834" s="24"/>
    </row>
    <row r="835">
      <c r="C835" s="24"/>
      <c r="F835" s="24"/>
      <c r="H835" s="24"/>
      <c r="I835" s="24"/>
      <c r="J835" s="24"/>
    </row>
    <row r="836">
      <c r="C836" s="24"/>
      <c r="F836" s="24"/>
      <c r="H836" s="24"/>
      <c r="I836" s="24"/>
      <c r="J836" s="24"/>
    </row>
    <row r="837">
      <c r="C837" s="24"/>
      <c r="F837" s="24"/>
      <c r="H837" s="24"/>
      <c r="I837" s="24"/>
      <c r="J837" s="24"/>
    </row>
    <row r="838">
      <c r="C838" s="24"/>
      <c r="F838" s="24"/>
      <c r="H838" s="24"/>
      <c r="I838" s="24"/>
      <c r="J838" s="24"/>
    </row>
    <row r="839">
      <c r="C839" s="24"/>
      <c r="F839" s="24"/>
      <c r="H839" s="24"/>
      <c r="I839" s="24"/>
      <c r="J839" s="24"/>
    </row>
    <row r="840">
      <c r="C840" s="24"/>
      <c r="F840" s="24"/>
      <c r="H840" s="24"/>
      <c r="I840" s="24"/>
      <c r="J840" s="24"/>
    </row>
    <row r="841">
      <c r="C841" s="24"/>
      <c r="F841" s="24"/>
      <c r="H841" s="24"/>
      <c r="I841" s="24"/>
      <c r="J841" s="24"/>
    </row>
    <row r="842">
      <c r="C842" s="24"/>
      <c r="F842" s="24"/>
      <c r="H842" s="24"/>
      <c r="I842" s="24"/>
      <c r="J842" s="24"/>
    </row>
    <row r="843">
      <c r="C843" s="24"/>
      <c r="F843" s="24"/>
      <c r="H843" s="24"/>
      <c r="I843" s="24"/>
      <c r="J843" s="24"/>
    </row>
    <row r="844">
      <c r="C844" s="24"/>
      <c r="F844" s="24"/>
      <c r="H844" s="24"/>
      <c r="I844" s="24"/>
      <c r="J844" s="24"/>
    </row>
    <row r="845">
      <c r="C845" s="24"/>
      <c r="F845" s="24"/>
      <c r="H845" s="24"/>
      <c r="I845" s="24"/>
      <c r="J845" s="24"/>
    </row>
    <row r="846">
      <c r="C846" s="24"/>
      <c r="F846" s="24"/>
      <c r="H846" s="24"/>
      <c r="I846" s="24"/>
      <c r="J846" s="24"/>
    </row>
    <row r="847">
      <c r="C847" s="24"/>
      <c r="F847" s="24"/>
      <c r="H847" s="24"/>
      <c r="I847" s="24"/>
      <c r="J847" s="24"/>
    </row>
    <row r="848">
      <c r="C848" s="24"/>
      <c r="F848" s="24"/>
      <c r="H848" s="24"/>
      <c r="I848" s="24"/>
      <c r="J848" s="24"/>
    </row>
    <row r="849">
      <c r="C849" s="24"/>
      <c r="F849" s="24"/>
      <c r="H849" s="24"/>
      <c r="I849" s="24"/>
      <c r="J849" s="24"/>
    </row>
    <row r="850">
      <c r="C850" s="24"/>
      <c r="F850" s="24"/>
      <c r="H850" s="24"/>
      <c r="I850" s="24"/>
      <c r="J850" s="24"/>
    </row>
    <row r="851">
      <c r="C851" s="24"/>
      <c r="F851" s="24"/>
      <c r="H851" s="24"/>
      <c r="I851" s="24"/>
      <c r="J851" s="24"/>
    </row>
    <row r="852">
      <c r="C852" s="24"/>
      <c r="F852" s="24"/>
      <c r="H852" s="24"/>
      <c r="I852" s="24"/>
      <c r="J852" s="24"/>
    </row>
    <row r="853">
      <c r="C853" s="24"/>
      <c r="F853" s="24"/>
      <c r="H853" s="24"/>
      <c r="I853" s="24"/>
      <c r="J853" s="24"/>
    </row>
    <row r="854">
      <c r="C854" s="24"/>
      <c r="F854" s="24"/>
      <c r="H854" s="24"/>
      <c r="I854" s="24"/>
      <c r="J854" s="24"/>
    </row>
    <row r="855">
      <c r="C855" s="24"/>
      <c r="F855" s="24"/>
      <c r="H855" s="24"/>
      <c r="I855" s="24"/>
      <c r="J855" s="24"/>
    </row>
    <row r="856">
      <c r="C856" s="24"/>
      <c r="F856" s="24"/>
      <c r="H856" s="24"/>
      <c r="I856" s="24"/>
      <c r="J856" s="24"/>
    </row>
    <row r="857">
      <c r="C857" s="24"/>
      <c r="F857" s="24"/>
      <c r="H857" s="24"/>
      <c r="I857" s="24"/>
      <c r="J857" s="24"/>
    </row>
    <row r="858">
      <c r="C858" s="24"/>
      <c r="F858" s="24"/>
      <c r="H858" s="24"/>
      <c r="I858" s="24"/>
      <c r="J858" s="24"/>
    </row>
    <row r="859">
      <c r="C859" s="24"/>
      <c r="F859" s="24"/>
      <c r="H859" s="24"/>
      <c r="I859" s="24"/>
      <c r="J859" s="24"/>
    </row>
    <row r="860">
      <c r="C860" s="24"/>
      <c r="F860" s="24"/>
      <c r="H860" s="24"/>
      <c r="I860" s="24"/>
      <c r="J860" s="24"/>
    </row>
    <row r="861">
      <c r="C861" s="24"/>
      <c r="F861" s="24"/>
      <c r="H861" s="24"/>
      <c r="I861" s="24"/>
      <c r="J861" s="24"/>
    </row>
    <row r="862">
      <c r="C862" s="24"/>
      <c r="F862" s="24"/>
      <c r="H862" s="24"/>
      <c r="I862" s="24"/>
      <c r="J862" s="24"/>
    </row>
    <row r="863">
      <c r="C863" s="24"/>
      <c r="F863" s="24"/>
      <c r="H863" s="24"/>
      <c r="I863" s="24"/>
      <c r="J863" s="24"/>
    </row>
    <row r="864">
      <c r="C864" s="24"/>
      <c r="F864" s="24"/>
      <c r="H864" s="24"/>
      <c r="I864" s="24"/>
      <c r="J864" s="24"/>
    </row>
    <row r="865">
      <c r="C865" s="24"/>
      <c r="F865" s="24"/>
      <c r="H865" s="24"/>
      <c r="I865" s="24"/>
      <c r="J865" s="24"/>
    </row>
    <row r="866">
      <c r="C866" s="24"/>
      <c r="F866" s="24"/>
      <c r="H866" s="24"/>
      <c r="I866" s="24"/>
      <c r="J866" s="24"/>
    </row>
    <row r="867">
      <c r="C867" s="24"/>
      <c r="F867" s="24"/>
      <c r="H867" s="24"/>
      <c r="I867" s="24"/>
      <c r="J867" s="24"/>
    </row>
    <row r="868">
      <c r="C868" s="24"/>
      <c r="F868" s="24"/>
      <c r="H868" s="24"/>
      <c r="I868" s="24"/>
      <c r="J868" s="24"/>
    </row>
    <row r="869">
      <c r="C869" s="24"/>
      <c r="F869" s="24"/>
      <c r="H869" s="24"/>
      <c r="I869" s="24"/>
      <c r="J869" s="24"/>
    </row>
    <row r="870">
      <c r="C870" s="24"/>
      <c r="F870" s="24"/>
      <c r="H870" s="24"/>
      <c r="I870" s="24"/>
      <c r="J870" s="24"/>
    </row>
    <row r="871">
      <c r="C871" s="24"/>
      <c r="F871" s="24"/>
      <c r="H871" s="24"/>
      <c r="I871" s="24"/>
      <c r="J871" s="24"/>
    </row>
    <row r="872">
      <c r="C872" s="24"/>
      <c r="F872" s="24"/>
      <c r="H872" s="24"/>
      <c r="I872" s="24"/>
      <c r="J872" s="24"/>
    </row>
    <row r="873">
      <c r="C873" s="24"/>
      <c r="F873" s="24"/>
      <c r="H873" s="24"/>
      <c r="I873" s="24"/>
      <c r="J873" s="24"/>
    </row>
    <row r="874">
      <c r="C874" s="24"/>
      <c r="F874" s="24"/>
      <c r="H874" s="24"/>
      <c r="I874" s="24"/>
      <c r="J874" s="24"/>
    </row>
    <row r="875">
      <c r="C875" s="24"/>
      <c r="F875" s="24"/>
      <c r="H875" s="24"/>
      <c r="I875" s="24"/>
      <c r="J875" s="24"/>
    </row>
    <row r="876">
      <c r="C876" s="24"/>
      <c r="F876" s="24"/>
      <c r="H876" s="24"/>
      <c r="I876" s="24"/>
      <c r="J876" s="24"/>
    </row>
    <row r="877">
      <c r="C877" s="24"/>
      <c r="F877" s="24"/>
      <c r="H877" s="24"/>
      <c r="I877" s="24"/>
      <c r="J877" s="24"/>
    </row>
    <row r="878">
      <c r="C878" s="24"/>
      <c r="F878" s="24"/>
      <c r="H878" s="24"/>
      <c r="I878" s="24"/>
      <c r="J878" s="24"/>
    </row>
    <row r="879">
      <c r="C879" s="24"/>
      <c r="F879" s="24"/>
      <c r="H879" s="24"/>
      <c r="I879" s="24"/>
      <c r="J879" s="24"/>
    </row>
    <row r="880">
      <c r="C880" s="24"/>
      <c r="F880" s="24"/>
      <c r="H880" s="24"/>
      <c r="I880" s="24"/>
      <c r="J880" s="24"/>
    </row>
    <row r="881">
      <c r="C881" s="24"/>
      <c r="F881" s="24"/>
      <c r="H881" s="24"/>
      <c r="I881" s="24"/>
      <c r="J881" s="24"/>
    </row>
    <row r="882">
      <c r="C882" s="24"/>
      <c r="F882" s="24"/>
      <c r="H882" s="24"/>
      <c r="I882" s="24"/>
      <c r="J882" s="24"/>
    </row>
    <row r="883">
      <c r="C883" s="24"/>
      <c r="F883" s="24"/>
      <c r="H883" s="24"/>
      <c r="I883" s="24"/>
      <c r="J883" s="24"/>
    </row>
    <row r="884">
      <c r="C884" s="24"/>
      <c r="F884" s="24"/>
      <c r="H884" s="24"/>
      <c r="I884" s="24"/>
      <c r="J884" s="24"/>
    </row>
    <row r="885">
      <c r="C885" s="24"/>
      <c r="F885" s="24"/>
      <c r="H885" s="24"/>
      <c r="I885" s="24"/>
      <c r="J885" s="24"/>
    </row>
    <row r="886">
      <c r="C886" s="24"/>
      <c r="F886" s="24"/>
      <c r="H886" s="24"/>
      <c r="I886" s="24"/>
      <c r="J886" s="24"/>
    </row>
    <row r="887">
      <c r="C887" s="24"/>
      <c r="F887" s="24"/>
      <c r="H887" s="24"/>
      <c r="I887" s="24"/>
      <c r="J887" s="24"/>
    </row>
    <row r="888">
      <c r="C888" s="24"/>
      <c r="F888" s="24"/>
      <c r="H888" s="24"/>
      <c r="I888" s="24"/>
      <c r="J888" s="24"/>
    </row>
    <row r="889">
      <c r="C889" s="24"/>
      <c r="F889" s="24"/>
      <c r="H889" s="24"/>
      <c r="I889" s="24"/>
      <c r="J889" s="24"/>
    </row>
    <row r="890">
      <c r="C890" s="24"/>
      <c r="F890" s="24"/>
      <c r="H890" s="24"/>
      <c r="I890" s="24"/>
      <c r="J890" s="24"/>
    </row>
    <row r="891">
      <c r="C891" s="24"/>
      <c r="F891" s="24"/>
      <c r="H891" s="24"/>
      <c r="I891" s="24"/>
      <c r="J891" s="24"/>
    </row>
    <row r="892">
      <c r="C892" s="24"/>
      <c r="F892" s="24"/>
      <c r="H892" s="24"/>
      <c r="I892" s="24"/>
      <c r="J892" s="24"/>
    </row>
    <row r="893">
      <c r="C893" s="24"/>
      <c r="F893" s="24"/>
      <c r="H893" s="24"/>
      <c r="I893" s="24"/>
      <c r="J893" s="24"/>
    </row>
    <row r="894">
      <c r="C894" s="24"/>
      <c r="F894" s="24"/>
      <c r="H894" s="24"/>
      <c r="I894" s="24"/>
      <c r="J894" s="24"/>
    </row>
    <row r="895">
      <c r="C895" s="24"/>
      <c r="F895" s="24"/>
      <c r="H895" s="24"/>
      <c r="I895" s="24"/>
      <c r="J895" s="24"/>
    </row>
    <row r="896">
      <c r="C896" s="24"/>
      <c r="F896" s="24"/>
      <c r="H896" s="24"/>
      <c r="I896" s="24"/>
      <c r="J896" s="24"/>
    </row>
    <row r="897">
      <c r="C897" s="24"/>
      <c r="F897" s="24"/>
      <c r="H897" s="24"/>
      <c r="I897" s="24"/>
      <c r="J897" s="24"/>
    </row>
    <row r="898">
      <c r="C898" s="24"/>
      <c r="F898" s="24"/>
      <c r="H898" s="24"/>
      <c r="I898" s="24"/>
      <c r="J898" s="24"/>
    </row>
    <row r="899">
      <c r="C899" s="24"/>
      <c r="F899" s="24"/>
      <c r="H899" s="24"/>
      <c r="I899" s="24"/>
      <c r="J899" s="24"/>
    </row>
    <row r="900">
      <c r="C900" s="24"/>
      <c r="F900" s="24"/>
      <c r="H900" s="24"/>
      <c r="I900" s="24"/>
      <c r="J900" s="24"/>
    </row>
    <row r="901">
      <c r="C901" s="24"/>
      <c r="F901" s="24"/>
      <c r="H901" s="24"/>
      <c r="I901" s="24"/>
      <c r="J901" s="24"/>
    </row>
    <row r="902">
      <c r="C902" s="24"/>
      <c r="F902" s="24"/>
      <c r="H902" s="24"/>
      <c r="I902" s="24"/>
      <c r="J902" s="24"/>
    </row>
    <row r="903">
      <c r="C903" s="24"/>
      <c r="F903" s="24"/>
      <c r="H903" s="24"/>
      <c r="I903" s="24"/>
      <c r="J903" s="24"/>
    </row>
    <row r="904">
      <c r="C904" s="24"/>
      <c r="F904" s="24"/>
      <c r="H904" s="24"/>
      <c r="I904" s="24"/>
      <c r="J904" s="24"/>
    </row>
    <row r="905">
      <c r="C905" s="24"/>
      <c r="F905" s="24"/>
      <c r="H905" s="24"/>
      <c r="I905" s="24"/>
      <c r="J905" s="24"/>
    </row>
    <row r="906">
      <c r="C906" s="24"/>
      <c r="F906" s="24"/>
      <c r="H906" s="24"/>
      <c r="I906" s="24"/>
      <c r="J906" s="24"/>
    </row>
    <row r="907">
      <c r="C907" s="24"/>
      <c r="F907" s="24"/>
      <c r="H907" s="24"/>
      <c r="I907" s="24"/>
      <c r="J907" s="24"/>
    </row>
    <row r="908">
      <c r="C908" s="24"/>
      <c r="F908" s="24"/>
      <c r="H908" s="24"/>
      <c r="I908" s="24"/>
      <c r="J908" s="24"/>
    </row>
    <row r="909">
      <c r="C909" s="24"/>
      <c r="F909" s="24"/>
      <c r="H909" s="24"/>
      <c r="I909" s="24"/>
      <c r="J909" s="24"/>
    </row>
    <row r="910">
      <c r="C910" s="24"/>
      <c r="F910" s="24"/>
      <c r="H910" s="24"/>
      <c r="I910" s="24"/>
      <c r="J910" s="24"/>
    </row>
    <row r="911">
      <c r="C911" s="24"/>
      <c r="F911" s="24"/>
      <c r="H911" s="24"/>
      <c r="I911" s="24"/>
      <c r="J911" s="24"/>
    </row>
    <row r="912">
      <c r="C912" s="24"/>
      <c r="F912" s="24"/>
      <c r="H912" s="24"/>
      <c r="I912" s="24"/>
      <c r="J912" s="24"/>
    </row>
    <row r="913">
      <c r="C913" s="24"/>
      <c r="F913" s="24"/>
      <c r="H913" s="24"/>
      <c r="I913" s="24"/>
      <c r="J913" s="24"/>
    </row>
    <row r="914">
      <c r="C914" s="24"/>
      <c r="F914" s="24"/>
      <c r="H914" s="24"/>
      <c r="I914" s="24"/>
      <c r="J914" s="24"/>
    </row>
    <row r="915">
      <c r="C915" s="24"/>
      <c r="F915" s="24"/>
      <c r="H915" s="24"/>
      <c r="I915" s="24"/>
      <c r="J915" s="24"/>
    </row>
    <row r="916">
      <c r="C916" s="24"/>
      <c r="F916" s="24"/>
      <c r="H916" s="24"/>
      <c r="I916" s="24"/>
      <c r="J916" s="24"/>
    </row>
    <row r="917">
      <c r="C917" s="24"/>
      <c r="F917" s="24"/>
      <c r="H917" s="24"/>
      <c r="I917" s="24"/>
      <c r="J917" s="24"/>
    </row>
    <row r="918">
      <c r="C918" s="24"/>
      <c r="F918" s="24"/>
      <c r="H918" s="24"/>
      <c r="I918" s="24"/>
      <c r="J918" s="24"/>
    </row>
    <row r="919">
      <c r="C919" s="24"/>
      <c r="F919" s="24"/>
      <c r="H919" s="24"/>
      <c r="I919" s="24"/>
      <c r="J919" s="24"/>
    </row>
    <row r="920">
      <c r="C920" s="24"/>
      <c r="F920" s="24"/>
      <c r="H920" s="24"/>
      <c r="I920" s="24"/>
      <c r="J920" s="24"/>
    </row>
    <row r="921">
      <c r="C921" s="24"/>
      <c r="F921" s="24"/>
      <c r="H921" s="24"/>
      <c r="I921" s="24"/>
      <c r="J921" s="24"/>
    </row>
    <row r="922">
      <c r="C922" s="24"/>
      <c r="F922" s="24"/>
      <c r="H922" s="24"/>
      <c r="I922" s="24"/>
      <c r="J922" s="24"/>
    </row>
    <row r="923">
      <c r="C923" s="24"/>
      <c r="F923" s="24"/>
      <c r="H923" s="24"/>
      <c r="I923" s="24"/>
      <c r="J923" s="24"/>
    </row>
    <row r="924">
      <c r="C924" s="24"/>
      <c r="F924" s="24"/>
      <c r="H924" s="24"/>
      <c r="I924" s="24"/>
      <c r="J924" s="24"/>
    </row>
    <row r="925">
      <c r="C925" s="24"/>
      <c r="F925" s="24"/>
      <c r="H925" s="24"/>
      <c r="I925" s="24"/>
      <c r="J925" s="24"/>
    </row>
    <row r="926">
      <c r="C926" s="24"/>
      <c r="F926" s="24"/>
      <c r="H926" s="24"/>
      <c r="I926" s="24"/>
      <c r="J926" s="24"/>
    </row>
    <row r="927">
      <c r="C927" s="24"/>
      <c r="F927" s="24"/>
      <c r="H927" s="24"/>
      <c r="I927" s="24"/>
      <c r="J927" s="24"/>
    </row>
    <row r="928">
      <c r="C928" s="24"/>
      <c r="F928" s="24"/>
      <c r="H928" s="24"/>
      <c r="I928" s="24"/>
      <c r="J928" s="24"/>
    </row>
    <row r="929">
      <c r="C929" s="24"/>
      <c r="F929" s="24"/>
      <c r="H929" s="24"/>
      <c r="I929" s="24"/>
      <c r="J929" s="24"/>
    </row>
    <row r="930">
      <c r="C930" s="24"/>
      <c r="F930" s="24"/>
      <c r="H930" s="24"/>
      <c r="I930" s="24"/>
      <c r="J930" s="24"/>
    </row>
    <row r="931">
      <c r="C931" s="24"/>
      <c r="F931" s="24"/>
      <c r="H931" s="24"/>
      <c r="I931" s="24"/>
      <c r="J931" s="24"/>
    </row>
    <row r="932">
      <c r="C932" s="24"/>
      <c r="F932" s="24"/>
      <c r="H932" s="24"/>
      <c r="I932" s="24"/>
      <c r="J932" s="24"/>
    </row>
    <row r="933">
      <c r="C933" s="24"/>
      <c r="F933" s="24"/>
      <c r="H933" s="24"/>
      <c r="I933" s="24"/>
      <c r="J933" s="24"/>
    </row>
    <row r="934">
      <c r="C934" s="24"/>
      <c r="F934" s="24"/>
      <c r="H934" s="24"/>
      <c r="I934" s="24"/>
      <c r="J934" s="24"/>
    </row>
    <row r="935">
      <c r="C935" s="24"/>
      <c r="F935" s="24"/>
      <c r="H935" s="24"/>
      <c r="I935" s="24"/>
      <c r="J935" s="24"/>
    </row>
    <row r="936">
      <c r="C936" s="24"/>
      <c r="F936" s="24"/>
      <c r="H936" s="24"/>
      <c r="I936" s="24"/>
      <c r="J936" s="24"/>
    </row>
    <row r="937">
      <c r="C937" s="24"/>
      <c r="F937" s="24"/>
      <c r="H937" s="24"/>
      <c r="I937" s="24"/>
      <c r="J937" s="24"/>
    </row>
    <row r="938">
      <c r="C938" s="24"/>
      <c r="F938" s="24"/>
      <c r="H938" s="24"/>
      <c r="I938" s="24"/>
      <c r="J938" s="24"/>
    </row>
    <row r="939">
      <c r="C939" s="24"/>
      <c r="F939" s="24"/>
      <c r="H939" s="24"/>
      <c r="I939" s="24"/>
      <c r="J939" s="24"/>
    </row>
    <row r="940">
      <c r="C940" s="24"/>
      <c r="F940" s="24"/>
      <c r="H940" s="24"/>
      <c r="I940" s="24"/>
      <c r="J940" s="24"/>
    </row>
    <row r="941">
      <c r="C941" s="24"/>
      <c r="F941" s="24"/>
      <c r="H941" s="24"/>
      <c r="I941" s="24"/>
      <c r="J941" s="24"/>
    </row>
    <row r="942">
      <c r="C942" s="24"/>
      <c r="F942" s="24"/>
      <c r="H942" s="24"/>
      <c r="I942" s="24"/>
      <c r="J942" s="24"/>
    </row>
    <row r="943">
      <c r="C943" s="24"/>
      <c r="F943" s="24"/>
      <c r="H943" s="24"/>
      <c r="I943" s="24"/>
      <c r="J943" s="24"/>
    </row>
    <row r="944">
      <c r="C944" s="24"/>
      <c r="F944" s="24"/>
      <c r="H944" s="24"/>
      <c r="I944" s="24"/>
      <c r="J944" s="24"/>
    </row>
    <row r="945">
      <c r="C945" s="24"/>
      <c r="F945" s="24"/>
      <c r="H945" s="24"/>
      <c r="I945" s="24"/>
      <c r="J945" s="24"/>
    </row>
    <row r="946">
      <c r="C946" s="24"/>
      <c r="F946" s="24"/>
      <c r="H946" s="24"/>
      <c r="I946" s="24"/>
      <c r="J946" s="24"/>
    </row>
    <row r="947">
      <c r="C947" s="24"/>
      <c r="F947" s="24"/>
      <c r="H947" s="24"/>
      <c r="I947" s="24"/>
      <c r="J947" s="24"/>
    </row>
    <row r="948">
      <c r="C948" s="24"/>
      <c r="F948" s="24"/>
      <c r="H948" s="24"/>
      <c r="I948" s="24"/>
      <c r="J948" s="24"/>
    </row>
    <row r="949">
      <c r="C949" s="24"/>
      <c r="F949" s="24"/>
      <c r="H949" s="24"/>
      <c r="I949" s="24"/>
      <c r="J949" s="24"/>
    </row>
    <row r="950">
      <c r="C950" s="24"/>
      <c r="F950" s="24"/>
      <c r="H950" s="24"/>
      <c r="I950" s="24"/>
      <c r="J950" s="24"/>
    </row>
    <row r="951">
      <c r="C951" s="24"/>
      <c r="F951" s="24"/>
      <c r="H951" s="24"/>
      <c r="I951" s="24"/>
      <c r="J951" s="24"/>
    </row>
    <row r="952">
      <c r="C952" s="24"/>
      <c r="F952" s="24"/>
      <c r="H952" s="24"/>
      <c r="I952" s="24"/>
      <c r="J952" s="24"/>
    </row>
    <row r="953">
      <c r="C953" s="24"/>
      <c r="F953" s="24"/>
      <c r="H953" s="24"/>
      <c r="I953" s="24"/>
      <c r="J953" s="24"/>
    </row>
    <row r="954">
      <c r="C954" s="24"/>
      <c r="F954" s="24"/>
      <c r="H954" s="24"/>
      <c r="I954" s="24"/>
      <c r="J954" s="24"/>
    </row>
    <row r="955">
      <c r="C955" s="24"/>
      <c r="F955" s="24"/>
      <c r="H955" s="24"/>
      <c r="I955" s="24"/>
      <c r="J955" s="24"/>
    </row>
    <row r="956">
      <c r="C956" s="24"/>
      <c r="F956" s="24"/>
      <c r="H956" s="24"/>
      <c r="I956" s="24"/>
      <c r="J956" s="24"/>
    </row>
    <row r="957">
      <c r="C957" s="24"/>
      <c r="F957" s="24"/>
      <c r="H957" s="24"/>
      <c r="I957" s="24"/>
      <c r="J957" s="24"/>
    </row>
    <row r="958">
      <c r="C958" s="24"/>
      <c r="F958" s="24"/>
      <c r="H958" s="24"/>
      <c r="I958" s="24"/>
      <c r="J958" s="24"/>
    </row>
    <row r="959">
      <c r="C959" s="24"/>
      <c r="F959" s="24"/>
      <c r="H959" s="24"/>
      <c r="I959" s="24"/>
      <c r="J959" s="24"/>
    </row>
    <row r="960">
      <c r="C960" s="24"/>
      <c r="F960" s="24"/>
      <c r="H960" s="24"/>
      <c r="I960" s="24"/>
      <c r="J960" s="24"/>
    </row>
    <row r="961">
      <c r="C961" s="24"/>
      <c r="F961" s="24"/>
      <c r="H961" s="24"/>
      <c r="I961" s="24"/>
      <c r="J961" s="24"/>
    </row>
    <row r="962">
      <c r="C962" s="24"/>
      <c r="F962" s="24"/>
      <c r="H962" s="24"/>
      <c r="I962" s="24"/>
      <c r="J962" s="24"/>
    </row>
    <row r="963">
      <c r="C963" s="24"/>
      <c r="F963" s="24"/>
      <c r="H963" s="24"/>
      <c r="I963" s="24"/>
      <c r="J963" s="24"/>
    </row>
    <row r="964">
      <c r="C964" s="24"/>
      <c r="F964" s="24"/>
      <c r="H964" s="24"/>
      <c r="I964" s="24"/>
      <c r="J964" s="24"/>
    </row>
  </sheetData>
  <mergeCells count="1">
    <mergeCell ref="P1:Q1"/>
  </mergeCells>
  <conditionalFormatting sqref="H1:H964">
    <cfRule type="cellIs" dxfId="0" priority="1" operator="equal">
      <formula>"Y"</formula>
    </cfRule>
  </conditionalFormatting>
  <conditionalFormatting sqref="H1:H964">
    <cfRule type="containsText" dxfId="1" priority="2" operator="containsText" text="N">
      <formula>NOT(ISERROR(SEARCH(("N"),(H1))))</formula>
    </cfRule>
  </conditionalFormatting>
  <dataValidations>
    <dataValidation type="list" allowBlank="1" sqref="C7:C28 I7:I28 C35:C40 I35:I40 C42:C964 I42:I964">
      <formula1>"P1,P2,P3,P4,P5"</formula1>
    </dataValidation>
    <dataValidation type="list" allowBlank="1" sqref="F7:F28 J7:J28 F35:F40 J35:J40 F42:F964 J42:J964">
      <formula1>BaseData!$A$2:$A$53</formula1>
    </dataValidation>
    <dataValidation type="list" allowBlank="1" sqref="H7:H28 H35:H40 H42:H964">
      <formula1>"Y,N"</formula1>
    </dataValidation>
  </dataValidations>
  <drawing r:id="rId1"/>
</worksheet>
</file>